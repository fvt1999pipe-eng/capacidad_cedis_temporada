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" sheetId="1" state="visible" r:id="rId3"/>
    <sheet name="Parametros" sheetId="2" state="visible" r:id="rId4"/>
    <sheet name="Forecast" sheetId="3" state="visible" r:id="rId5"/>
    <sheet name="Proyeccion" sheetId="4" state="visible" r:id="rId6"/>
    <sheet name="Semaforo" sheetId="5" state="visible" r:id="rId7"/>
    <sheet name="Historico" sheetId="6" state="visible" r:id="rId8"/>
    <sheet name="Cumplimiento" sheetId="7" state="visible" r:id="rId9"/>
    <sheet name="Backtes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0" authorId="0">
      <text>
        <r>
          <rPr>
            <sz val="10"/>
            <rFont val="Arial"/>
            <family val="2"/>
          </rPr>
          <t xml:space="preserve">a y b: mínimos cuadrados sin intercepto sobre el cambio semanal de ocupación real (notebook, sección 4).</t>
        </r>
      </text>
    </comment>
  </commentList>
</comments>
</file>

<file path=xl/sharedStrings.xml><?xml version="1.0" encoding="utf-8"?>
<sst xmlns="http://schemas.openxmlformats.org/spreadsheetml/2006/main" count="622" uniqueCount="129">
  <si>
    <t xml:space="preserve">RetailCo · Capacidad de almacenamiento en temporada alta</t>
  </si>
  <si>
    <t xml:space="preserve">Datos sintéticos generados para un proyecto de portafolio. No corresponden a ninguna empresa.</t>
  </si>
  <si>
    <t xml:space="preserve">Hoja</t>
  </si>
  <si>
    <t xml:space="preserve">Contenido</t>
  </si>
  <si>
    <t xml:space="preserve">Parametros</t>
  </si>
  <si>
    <t xml:space="preserve">Parámetros calibrados por centro (a, b), posiciones, ocupación inicial, capacidad de alistamiento y supuestos editables</t>
  </si>
  <si>
    <t xml:space="preserve">Forecast</t>
  </si>
  <si>
    <t xml:space="preserve">Forecast de octubre: cajas y piezas por centro y semana, S43 2025 – S13 2026</t>
  </si>
  <si>
    <t xml:space="preserve">Proyeccion</t>
  </si>
  <si>
    <t xml:space="preserve">Ocupación semanal proyectada con el modelo de flujo, posiciones faltantes y ocupación de la red</t>
  </si>
  <si>
    <t xml:space="preserve">Semaforo</t>
  </si>
  <si>
    <t xml:space="preserve">Pico, semana pico, semanas sobre 100 %, posiciones faltantes, cubrimiento y estado por centro</t>
  </si>
  <si>
    <t xml:space="preserve">Historico</t>
  </si>
  <si>
    <t xml:space="preserve">Histórico limpio por centro y semana (salida del notebook)</t>
  </si>
  <si>
    <t xml:space="preserve">Cumplimiento</t>
  </si>
  <si>
    <t xml:space="preserve">Real ÷ forecast de recibo y alistamiento por centro y periodo</t>
  </si>
  <si>
    <t xml:space="preserve">Backtest</t>
  </si>
  <si>
    <t xml:space="preserve">Error del método a 11 semanas frente a 'sin cambio' y al atajo de 33 cajas (resultado del notebook)</t>
  </si>
  <si>
    <t xml:space="preserve">Convenciones</t>
  </si>
  <si>
    <t xml:space="preserve">Texto azul: dato de entrada</t>
  </si>
  <si>
    <t xml:space="preserve">Texto negro: fórmula</t>
  </si>
  <si>
    <t xml:space="preserve">Texto verde: vínculo a otra hoja</t>
  </si>
  <si>
    <t xml:space="preserve">Fondo amarillo: supuesto editable</t>
  </si>
  <si>
    <t xml:space="preserve">Cómo usarlo: cambia el recibo adicional en la rampa (Parametros!C4) a 5 % o 10 % y revisa el Semaforo.</t>
  </si>
  <si>
    <t xml:space="preserve">Parámetros del modelo</t>
  </si>
  <si>
    <t xml:space="preserve">Supuestos editables</t>
  </si>
  <si>
    <t xml:space="preserve">Recibo adicional en la rampa S43–S51 (escenario base)</t>
  </si>
  <si>
    <t xml:space="preserve">Sensibilidad: % de recibo sobre el forecast en S43–S51. Notebook: 0 %, 5 % y 10 %.</t>
  </si>
  <si>
    <t xml:space="preserve">Umbral crítico de ocupación</t>
  </si>
  <si>
    <t xml:space="preserve">Pico sobre este valor con el forecast = Crítico</t>
  </si>
  <si>
    <t xml:space="preserve">Recibo adicional del escenario de alerta</t>
  </si>
  <si>
    <t xml:space="preserve">Alerta: el pico supera el umbral solo con este % extra de recibo en S43–S51</t>
  </si>
  <si>
    <t xml:space="preserve">Cajas por ubicación del atajo</t>
  </si>
  <si>
    <t xml:space="preserve">Supuesto del método simplificado (descartado en el backtest)</t>
  </si>
  <si>
    <t xml:space="preserve">Centro</t>
  </si>
  <si>
    <t xml:space="preserve">Tipo</t>
  </si>
  <si>
    <t xml:space="preserve">Posiciones</t>
  </si>
  <si>
    <t xml:space="preserve">a (pp/caja)</t>
  </si>
  <si>
    <t xml:space="preserve">b (pp/pieza)</t>
  </si>
  <si>
    <t xml:space="preserve">Ocupación S42 2025</t>
  </si>
  <si>
    <t xml:space="preserve">Piezas por caja (a/b)</t>
  </si>
  <si>
    <t xml:space="preserve">Cajas por posición</t>
  </si>
  <si>
    <t xml:space="preserve">Capacidad alistamiento (piezas/sem)</t>
  </si>
  <si>
    <t xml:space="preserve">Piezas por bulto</t>
  </si>
  <si>
    <t xml:space="preserve">CD-Norte</t>
  </si>
  <si>
    <t xml:space="preserve">Propio</t>
  </si>
  <si>
    <t xml:space="preserve">CD-Centro</t>
  </si>
  <si>
    <t xml:space="preserve">CD-Oriente</t>
  </si>
  <si>
    <t xml:space="preserve">CD-Bebidas</t>
  </si>
  <si>
    <t xml:space="preserve">OPL-Frio</t>
  </si>
  <si>
    <t xml:space="preserve">OPL</t>
  </si>
  <si>
    <t xml:space="preserve">a y b se calibraron en el notebook (sección 4). La ocupación inicial es la real de la S42 de 2025.</t>
  </si>
  <si>
    <t xml:space="preserve">Forecast de temporada (versión octubre)</t>
  </si>
  <si>
    <t xml:space="preserve">Año</t>
  </si>
  <si>
    <t xml:space="preserve">Semana</t>
  </si>
  <si>
    <t xml:space="preserve">Rampa (1 = S43–S51)</t>
  </si>
  <si>
    <t xml:space="preserve">CD-Norte cajas</t>
  </si>
  <si>
    <t xml:space="preserve">CD-Norte piezas</t>
  </si>
  <si>
    <t xml:space="preserve">CD-Centro cajas</t>
  </si>
  <si>
    <t xml:space="preserve">CD-Centro piezas</t>
  </si>
  <si>
    <t xml:space="preserve">CD-Oriente cajas</t>
  </si>
  <si>
    <t xml:space="preserve">CD-Oriente piezas</t>
  </si>
  <si>
    <t xml:space="preserve">CD-Bebidas cajas</t>
  </si>
  <si>
    <t xml:space="preserve">CD-Bebidas piezas</t>
  </si>
  <si>
    <t xml:space="preserve">OPL-Frio cajas</t>
  </si>
  <si>
    <t xml:space="preserve">OPL-Frio piezas</t>
  </si>
  <si>
    <t xml:space="preserve">Ocupación proyectada (modelo de flujo)</t>
  </si>
  <si>
    <t xml:space="preserve">ocup(t) = ocup(t−1) + a × cajas(t) × (1 + recibo adicional × rampa) − b × piezas(t), en puntos porcentuales</t>
  </si>
  <si>
    <t xml:space="preserve">CD-Norte ocupación</t>
  </si>
  <si>
    <t xml:space="preserve">CD-Centro ocupación</t>
  </si>
  <si>
    <t xml:space="preserve">CD-Oriente ocupación</t>
  </si>
  <si>
    <t xml:space="preserve">CD-Bebidas ocupación</t>
  </si>
  <si>
    <t xml:space="preserve">OPL-Frio ocupación</t>
  </si>
  <si>
    <t xml:space="preserve">CD-Norte faltantes</t>
  </si>
  <si>
    <t xml:space="preserve">CD-Centro faltantes</t>
  </si>
  <si>
    <t xml:space="preserve">CD-Oriente faltantes</t>
  </si>
  <si>
    <t xml:space="preserve">CD-Bebidas faltantes</t>
  </si>
  <si>
    <t xml:space="preserve">OPL-Frio faltantes</t>
  </si>
  <si>
    <t xml:space="preserve">Red propia (ponderada)</t>
  </si>
  <si>
    <t xml:space="preserve">CD-Norte ocupación escenario alerta</t>
  </si>
  <si>
    <t xml:space="preserve">CD-Centro ocupación escenario alerta</t>
  </si>
  <si>
    <t xml:space="preserve">CD-Oriente ocupación escenario alerta</t>
  </si>
  <si>
    <t xml:space="preserve">CD-Bebidas ocupación escenario alerta</t>
  </si>
  <si>
    <t xml:space="preserve">OPL-Frio ocupación escenario alerta</t>
  </si>
  <si>
    <t xml:space="preserve">Inicio</t>
  </si>
  <si>
    <t xml:space="preserve">S42</t>
  </si>
  <si>
    <t xml:space="preserve">Semáforo de la red</t>
  </si>
  <si>
    <t xml:space="preserve">Recibo adicional en la rampa:</t>
  </si>
  <si>
    <t xml:space="preserve">Ocupación hoy</t>
  </si>
  <si>
    <t xml:space="preserve">Pico</t>
  </si>
  <si>
    <t xml:space="preserve">Semana pico</t>
  </si>
  <si>
    <t xml:space="preserve">Semanas &gt; 100 %</t>
  </si>
  <si>
    <t xml:space="preserve">Posiciones faltantes</t>
  </si>
  <si>
    <t xml:space="preserve">Cubrimiento alistamiento (mín. semanal)</t>
  </si>
  <si>
    <t xml:space="preserve">Cubrimiento alistamiento (total)</t>
  </si>
  <si>
    <t xml:space="preserve">Pico escenario alerta</t>
  </si>
  <si>
    <t xml:space="preserve">Estado</t>
  </si>
  <si>
    <t xml:space="preserve">Red propia</t>
  </si>
  <si>
    <t xml:space="preserve">Crítico: pico sobre el umbral en el escenario base. Alerta: lo supera solo con el recibo adicional del escenario de alerta (Parametros!C6).</t>
  </si>
  <si>
    <t xml:space="preserve">cd</t>
  </si>
  <si>
    <t xml:space="preserve">anio</t>
  </si>
  <si>
    <t xml:space="preserve">semana</t>
  </si>
  <si>
    <t xml:space="preserve">mes</t>
  </si>
  <si>
    <t xml:space="preserve">cajas_forecast</t>
  </si>
  <si>
    <t xml:space="preserve">cajas_real</t>
  </si>
  <si>
    <t xml:space="preserve">piezas_forecast</t>
  </si>
  <si>
    <t xml:space="preserve">piezas_real</t>
  </si>
  <si>
    <t xml:space="preserve">ocupacion</t>
  </si>
  <si>
    <t xml:space="preserve">recibo_imputado</t>
  </si>
  <si>
    <t xml:space="preserve">ocup_imputada</t>
  </si>
  <si>
    <t xml:space="preserve">semana_copiada</t>
  </si>
  <si>
    <t xml:space="preserve">valor_redondo</t>
  </si>
  <si>
    <t xml:space="preserve">periodo</t>
  </si>
  <si>
    <t xml:space="preserve">Cumplimiento del forecast (real ÷ forecast)</t>
  </si>
  <si>
    <t xml:space="preserve">Recibo · Resto del año</t>
  </si>
  <si>
    <t xml:space="preserve">Recibo · Temporada 2024-25</t>
  </si>
  <si>
    <t xml:space="preserve">Recibo · Sep-oct 2025</t>
  </si>
  <si>
    <t xml:space="preserve">Alistamiento · Resto del año</t>
  </si>
  <si>
    <t xml:space="preserve">Alistamiento · Temporada 2024-25</t>
  </si>
  <si>
    <t xml:space="preserve">Alistamiento · Sep-oct 2025</t>
  </si>
  <si>
    <t xml:space="preserve">Semáforo: verde 95–105 %, rojo &gt; 105 %, café &lt; 95 %.</t>
  </si>
  <si>
    <t xml:space="preserve">Backtest a 11 semanas (resultado del notebook, sección 5)</t>
  </si>
  <si>
    <t xml:space="preserve">Arranques</t>
  </si>
  <si>
    <t xml:space="preserve">MAE flujo (pp)</t>
  </si>
  <si>
    <t xml:space="preserve">Sesgo flujo (pp)</t>
  </si>
  <si>
    <t xml:space="preserve">MAE sin cambio (pp)</t>
  </si>
  <si>
    <t xml:space="preserve">MAE atajo 33 cajas (pp)</t>
  </si>
  <si>
    <t xml:space="preserve">Mejora vs. sin cambio</t>
  </si>
  <si>
    <t xml:space="preserve">Valores calculados en el notebook con calibración solo sobre semanas previas a cada arranque.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</si>
</sst>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"/>
    <numFmt numFmtId="167" formatCode="#,##0"/>
    <numFmt numFmtId="168" formatCode="0.000E+00"/>
    <numFmt numFmtId="169" formatCode="0.0%"/>
    <numFmt numFmtId="170" formatCode="0.00"/>
    <numFmt numFmtId="171" formatCode="0.0"/>
    <numFmt numFmtId="172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E6D5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D5C3"/>
      <rgbColor rgb="FF808080"/>
      <rgbColor rgb="FF9999FF"/>
      <rgbColor rgb="FF993366"/>
      <rgbColor rgb="FFFFF2CC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odelo_capacidad.xlsx" TargetMode="External"/><Relationship Id="rId2" Type="http://schemas.openxmlformats.org/officeDocument/2006/relationships/hyperlink" Target="modelo_capacidad.xlsx" TargetMode="External"/><Relationship Id="rId3" Type="http://schemas.openxmlformats.org/officeDocument/2006/relationships/hyperlink" Target="modelo_capacidad.xlsx" TargetMode="External"/><Relationship Id="rId4" Type="http://schemas.openxmlformats.org/officeDocument/2006/relationships/hyperlink" Target="modelo_capacidad.xlsx" TargetMode="External"/><Relationship Id="rId5" Type="http://schemas.openxmlformats.org/officeDocument/2006/relationships/hyperlink" Target="modelo_capacidad.xlsx" TargetMode="External"/><Relationship Id="rId6" Type="http://schemas.openxmlformats.org/officeDocument/2006/relationships/hyperlink" Target="modelo_capacidad.xlsx" TargetMode="External"/><Relationship Id="rId7" Type="http://schemas.openxmlformats.org/officeDocument/2006/relationships/hyperlink" Target="modelo_capacidad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</row>
    <row r="7" customFormat="false" ht="15" hidden="false" customHeight="false" outlineLevel="0" collapsed="false">
      <c r="A7" s="5" t="s">
        <v>8</v>
      </c>
      <c r="B7" s="6" t="s">
        <v>9</v>
      </c>
    </row>
    <row r="8" customFormat="false" ht="15" hidden="false" customHeight="false" outlineLevel="0" collapsed="false">
      <c r="A8" s="5" t="s">
        <v>10</v>
      </c>
      <c r="B8" s="6" t="s">
        <v>11</v>
      </c>
    </row>
    <row r="9" customFormat="false" ht="15" hidden="false" customHeight="false" outlineLevel="0" collapsed="false">
      <c r="A9" s="5" t="s">
        <v>12</v>
      </c>
      <c r="B9" s="6" t="s">
        <v>13</v>
      </c>
    </row>
    <row r="10" customFormat="false" ht="15" hidden="false" customHeight="false" outlineLevel="0" collapsed="false">
      <c r="A10" s="5" t="s">
        <v>14</v>
      </c>
      <c r="B10" s="6" t="s">
        <v>15</v>
      </c>
    </row>
    <row r="11" customFormat="false" ht="15" hidden="false" customHeight="false" outlineLevel="0" collapsed="false">
      <c r="A11" s="5" t="s">
        <v>16</v>
      </c>
      <c r="B11" s="6" t="s">
        <v>17</v>
      </c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4" t="s">
        <v>18</v>
      </c>
      <c r="B14" s="2"/>
    </row>
    <row r="15" customFormat="false" ht="15" hidden="false" customHeight="false" outlineLevel="0" collapsed="false">
      <c r="A15" s="7" t="s">
        <v>19</v>
      </c>
      <c r="B15" s="2"/>
    </row>
    <row r="16" customFormat="false" ht="15" hidden="false" customHeight="false" outlineLevel="0" collapsed="false">
      <c r="A16" s="6" t="s">
        <v>20</v>
      </c>
      <c r="B16" s="2"/>
    </row>
    <row r="17" customFormat="false" ht="15" hidden="false" customHeight="false" outlineLevel="0" collapsed="false">
      <c r="A17" s="8" t="s">
        <v>21</v>
      </c>
      <c r="B17" s="2"/>
    </row>
    <row r="18" customFormat="false" ht="15" hidden="false" customHeight="false" outlineLevel="0" collapsed="false">
      <c r="A18" s="9" t="s">
        <v>22</v>
      </c>
      <c r="B18" s="2"/>
    </row>
    <row r="19" customFormat="false" ht="15" hidden="false" customHeight="false" outlineLevel="0" collapsed="false">
      <c r="A19" s="2"/>
      <c r="B19" s="2"/>
    </row>
    <row r="20" customFormat="false" ht="15" hidden="false" customHeight="false" outlineLevel="0" collapsed="false">
      <c r="A20" s="2" t="s">
        <v>23</v>
      </c>
      <c r="B20" s="2"/>
    </row>
  </sheetData>
  <hyperlinks>
    <hyperlink ref="A5" r:id="rId1" location="'Parametros'!A1" display="Parametros"/>
    <hyperlink ref="A6" r:id="rId2" location="'Forecast'!A1" display="Forecast"/>
    <hyperlink ref="A7" r:id="rId3" location="'Proyeccion'!A1" display="Proyeccion"/>
    <hyperlink ref="A8" r:id="rId4" location="'Semaforo'!A1" display="Semaforo"/>
    <hyperlink ref="A9" r:id="rId5" location="'Historico'!A1" display="Historico"/>
    <hyperlink ref="A10" r:id="rId6" location="'Cumplimiento'!A1" display="Cumplimiento"/>
    <hyperlink ref="A11" r:id="rId7" location="'Backtest'!A1" display="Backte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4" t="s">
        <v>25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6" t="s">
        <v>26</v>
      </c>
      <c r="C4" s="10" t="n">
        <v>0</v>
      </c>
      <c r="D4" s="3" t="s">
        <v>27</v>
      </c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2"/>
      <c r="B5" s="6" t="s">
        <v>28</v>
      </c>
      <c r="C5" s="10" t="n">
        <v>1</v>
      </c>
      <c r="D5" s="3" t="s">
        <v>29</v>
      </c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2"/>
      <c r="B6" s="6" t="s">
        <v>30</v>
      </c>
      <c r="C6" s="10" t="n">
        <v>0.1</v>
      </c>
      <c r="D6" s="3" t="s">
        <v>31</v>
      </c>
      <c r="E6" s="2"/>
      <c r="F6" s="2"/>
      <c r="G6" s="2"/>
      <c r="H6" s="2"/>
      <c r="I6" s="2"/>
      <c r="J6" s="2"/>
    </row>
    <row r="7" customFormat="false" ht="15" hidden="false" customHeight="false" outlineLevel="0" collapsed="false">
      <c r="A7" s="2"/>
      <c r="B7" s="6" t="s">
        <v>32</v>
      </c>
      <c r="C7" s="11" t="n">
        <v>33</v>
      </c>
      <c r="D7" s="3" t="s">
        <v>33</v>
      </c>
      <c r="E7" s="2"/>
      <c r="F7" s="2"/>
      <c r="G7" s="2"/>
      <c r="H7" s="2"/>
      <c r="I7" s="2"/>
      <c r="J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</row>
    <row r="9" customFormat="false" ht="39.55" hidden="false" customHeight="false" outlineLevel="0" collapsed="false">
      <c r="A9" s="12" t="s">
        <v>34</v>
      </c>
      <c r="B9" s="12" t="s">
        <v>35</v>
      </c>
      <c r="C9" s="12" t="s">
        <v>36</v>
      </c>
      <c r="D9" s="12" t="s">
        <v>37</v>
      </c>
      <c r="E9" s="12" t="s">
        <v>38</v>
      </c>
      <c r="F9" s="12" t="s">
        <v>39</v>
      </c>
      <c r="G9" s="12" t="s">
        <v>40</v>
      </c>
      <c r="H9" s="12" t="s">
        <v>41</v>
      </c>
      <c r="I9" s="12" t="s">
        <v>42</v>
      </c>
      <c r="J9" s="12" t="s">
        <v>43</v>
      </c>
    </row>
    <row r="10" customFormat="false" ht="15" hidden="false" customHeight="false" outlineLevel="0" collapsed="false">
      <c r="A10" s="13" t="s">
        <v>44</v>
      </c>
      <c r="B10" s="13" t="s">
        <v>45</v>
      </c>
      <c r="C10" s="14" t="n">
        <v>4800</v>
      </c>
      <c r="D10" s="15" t="n">
        <v>0.000357546903141</v>
      </c>
      <c r="E10" s="15" t="n">
        <v>4.21547902633021E-005</v>
      </c>
      <c r="F10" s="16" t="n">
        <v>0.8019</v>
      </c>
      <c r="G10" s="17" t="n">
        <f aca="false">D10/E10</f>
        <v>8.48176211784555</v>
      </c>
      <c r="H10" s="18" t="n">
        <f aca="false">100/(D10*C10)</f>
        <v>58.2674137303816</v>
      </c>
      <c r="I10" s="14" t="n">
        <v>580000</v>
      </c>
      <c r="J10" s="19" t="n">
        <v>9.6</v>
      </c>
    </row>
    <row r="11" customFormat="false" ht="15" hidden="false" customHeight="false" outlineLevel="0" collapsed="false">
      <c r="A11" s="13" t="s">
        <v>46</v>
      </c>
      <c r="B11" s="13" t="s">
        <v>45</v>
      </c>
      <c r="C11" s="14" t="n">
        <v>1900</v>
      </c>
      <c r="D11" s="15" t="n">
        <v>0.0010955243670065</v>
      </c>
      <c r="E11" s="15" t="n">
        <v>0.0001410706833507</v>
      </c>
      <c r="F11" s="16" t="n">
        <v>0.7078</v>
      </c>
      <c r="G11" s="17" t="n">
        <f aca="false">D11/E11</f>
        <v>7.76578337175159</v>
      </c>
      <c r="H11" s="18" t="n">
        <f aca="false">100/(D11*C11)</f>
        <v>48.0423626643588</v>
      </c>
      <c r="I11" s="14" t="n">
        <v>165000</v>
      </c>
      <c r="J11" s="19" t="n">
        <v>8.4</v>
      </c>
    </row>
    <row r="12" customFormat="false" ht="15" hidden="false" customHeight="false" outlineLevel="0" collapsed="false">
      <c r="A12" s="13" t="s">
        <v>47</v>
      </c>
      <c r="B12" s="13" t="s">
        <v>45</v>
      </c>
      <c r="C12" s="14" t="n">
        <v>1300</v>
      </c>
      <c r="D12" s="15" t="n">
        <v>0.0016368049894711</v>
      </c>
      <c r="E12" s="15" t="n">
        <v>0.0002293065024991</v>
      </c>
      <c r="F12" s="16" t="n">
        <v>0.6875</v>
      </c>
      <c r="G12" s="17" t="n">
        <f aca="false">D12/E12</f>
        <v>7.13806617619805</v>
      </c>
      <c r="H12" s="18" t="n">
        <f aca="false">100/(D12*C12)</f>
        <v>46.995871480043</v>
      </c>
      <c r="I12" s="14" t="n">
        <v>105000</v>
      </c>
      <c r="J12" s="19" t="n">
        <v>8.6</v>
      </c>
    </row>
    <row r="13" customFormat="false" ht="15" hidden="false" customHeight="false" outlineLevel="0" collapsed="false">
      <c r="A13" s="13" t="s">
        <v>48</v>
      </c>
      <c r="B13" s="13" t="s">
        <v>45</v>
      </c>
      <c r="C13" s="14" t="n">
        <v>1500</v>
      </c>
      <c r="D13" s="15" t="n">
        <v>0.0007006885870003</v>
      </c>
      <c r="E13" s="15" t="n">
        <v>0.000268788997254</v>
      </c>
      <c r="F13" s="16" t="n">
        <v>0.7092</v>
      </c>
      <c r="G13" s="17" t="n">
        <f aca="false">D13/E13</f>
        <v>2.60683507940678</v>
      </c>
      <c r="H13" s="18" t="n">
        <f aca="false">100/(D13*C13)</f>
        <v>95.1445019992</v>
      </c>
      <c r="I13" s="14" t="n">
        <v>50000</v>
      </c>
      <c r="J13" s="19" t="n">
        <v>2.8</v>
      </c>
    </row>
    <row r="14" customFormat="false" ht="15" hidden="false" customHeight="false" outlineLevel="0" collapsed="false">
      <c r="A14" s="13" t="s">
        <v>49</v>
      </c>
      <c r="B14" s="13" t="s">
        <v>50</v>
      </c>
      <c r="C14" s="14" t="n">
        <v>350</v>
      </c>
      <c r="D14" s="15" t="n">
        <v>0.0052146806054038</v>
      </c>
      <c r="E14" s="15" t="n">
        <v>0.0008239679575117</v>
      </c>
      <c r="F14" s="16" t="n">
        <v>0.6306</v>
      </c>
      <c r="G14" s="17" t="n">
        <f aca="false">D14/E14</f>
        <v>6.32874198306401</v>
      </c>
      <c r="H14" s="18" t="n">
        <f aca="false">100/(D14*C14)</f>
        <v>54.7903711337967</v>
      </c>
      <c r="I14" s="14" t="n">
        <v>21000</v>
      </c>
      <c r="J14" s="19" t="n">
        <v>7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51</v>
      </c>
      <c r="B16" s="2"/>
      <c r="C16" s="2"/>
      <c r="D16" s="2"/>
      <c r="E16" s="2"/>
      <c r="F16" s="2"/>
      <c r="G16" s="2"/>
      <c r="H16" s="2"/>
      <c r="I16" s="2"/>
      <c r="J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13" min="4" style="0" width="14"/>
  </cols>
  <sheetData>
    <row r="1" customFormat="false" ht="17.35" hidden="false" customHeight="false" outlineLevel="0" collapsed="false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6.85" hidden="false" customHeight="fals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58</v>
      </c>
      <c r="G3" s="12" t="s">
        <v>59</v>
      </c>
      <c r="H3" s="12" t="s">
        <v>60</v>
      </c>
      <c r="I3" s="12" t="s">
        <v>61</v>
      </c>
      <c r="J3" s="12" t="s">
        <v>62</v>
      </c>
      <c r="K3" s="12" t="s">
        <v>63</v>
      </c>
      <c r="L3" s="12" t="s">
        <v>64</v>
      </c>
      <c r="M3" s="12" t="s">
        <v>65</v>
      </c>
    </row>
    <row r="4" customFormat="false" ht="15" hidden="false" customHeight="false" outlineLevel="0" collapsed="false">
      <c r="A4" s="7" t="n">
        <v>2025</v>
      </c>
      <c r="B4" s="7" t="n">
        <v>43</v>
      </c>
      <c r="C4" s="6" t="n">
        <f aca="false">IF(AND(A4=2025,B4&gt;=43,B4&lt;=51),1,0)</f>
        <v>1</v>
      </c>
      <c r="D4" s="20" t="n">
        <v>46864</v>
      </c>
      <c r="E4" s="20" t="n">
        <v>450534</v>
      </c>
      <c r="F4" s="20" t="n">
        <v>14475</v>
      </c>
      <c r="G4" s="20" t="n">
        <v>126783</v>
      </c>
      <c r="H4" s="20" t="n">
        <v>9491</v>
      </c>
      <c r="I4" s="20" t="n">
        <v>86320</v>
      </c>
      <c r="J4" s="20" t="n">
        <v>14454</v>
      </c>
      <c r="K4" s="20" t="n">
        <v>41000</v>
      </c>
      <c r="L4" s="20" t="n">
        <v>2596</v>
      </c>
      <c r="M4" s="20" t="n">
        <v>17543</v>
      </c>
    </row>
    <row r="5" customFormat="false" ht="15" hidden="false" customHeight="false" outlineLevel="0" collapsed="false">
      <c r="A5" s="7" t="n">
        <v>2025</v>
      </c>
      <c r="B5" s="7" t="n">
        <v>44</v>
      </c>
      <c r="C5" s="6" t="n">
        <f aca="false">IF(AND(A5=2025,B5&gt;=43,B5&lt;=51),1,0)</f>
        <v>1</v>
      </c>
      <c r="D5" s="20" t="n">
        <v>47697</v>
      </c>
      <c r="E5" s="20" t="n">
        <v>447719</v>
      </c>
      <c r="F5" s="20" t="n">
        <v>15642</v>
      </c>
      <c r="G5" s="20" t="n">
        <v>137229</v>
      </c>
      <c r="H5" s="20" t="n">
        <v>10408</v>
      </c>
      <c r="I5" s="20" t="n">
        <v>87499</v>
      </c>
      <c r="J5" s="20" t="n">
        <v>18890</v>
      </c>
      <c r="K5" s="20" t="n">
        <v>40050</v>
      </c>
      <c r="L5" s="20" t="n">
        <v>2521</v>
      </c>
      <c r="M5" s="20" t="n">
        <v>17995</v>
      </c>
    </row>
    <row r="6" customFormat="false" ht="15" hidden="false" customHeight="false" outlineLevel="0" collapsed="false">
      <c r="A6" s="7" t="n">
        <v>2025</v>
      </c>
      <c r="B6" s="7" t="n">
        <v>45</v>
      </c>
      <c r="C6" s="6" t="n">
        <f aca="false">IF(AND(A6=2025,B6&gt;=43,B6&lt;=51),1,0)</f>
        <v>1</v>
      </c>
      <c r="D6" s="20" t="n">
        <v>51695</v>
      </c>
      <c r="E6" s="20" t="n">
        <v>444345</v>
      </c>
      <c r="F6" s="20" t="n">
        <v>15760</v>
      </c>
      <c r="G6" s="20" t="n">
        <v>139498</v>
      </c>
      <c r="H6" s="20" t="n">
        <v>10132</v>
      </c>
      <c r="I6" s="20" t="n">
        <v>84219</v>
      </c>
      <c r="J6" s="20" t="n">
        <v>21691</v>
      </c>
      <c r="K6" s="20" t="n">
        <v>41796</v>
      </c>
      <c r="L6" s="20" t="n">
        <v>2949</v>
      </c>
      <c r="M6" s="20" t="n">
        <v>18893</v>
      </c>
    </row>
    <row r="7" customFormat="false" ht="15" hidden="false" customHeight="false" outlineLevel="0" collapsed="false">
      <c r="A7" s="7" t="n">
        <v>2025</v>
      </c>
      <c r="B7" s="7" t="n">
        <v>46</v>
      </c>
      <c r="C7" s="6" t="n">
        <f aca="false">IF(AND(A7=2025,B7&gt;=43,B7&lt;=51),1,0)</f>
        <v>1</v>
      </c>
      <c r="D7" s="20" t="n">
        <v>67133</v>
      </c>
      <c r="E7" s="20" t="n">
        <v>452671</v>
      </c>
      <c r="F7" s="20" t="n">
        <v>20561</v>
      </c>
      <c r="G7" s="20" t="n">
        <v>133593</v>
      </c>
      <c r="H7" s="20" t="n">
        <v>11040</v>
      </c>
      <c r="I7" s="20" t="n">
        <v>83153</v>
      </c>
      <c r="J7" s="20" t="n">
        <v>23171</v>
      </c>
      <c r="K7" s="20" t="n">
        <v>41936</v>
      </c>
      <c r="L7" s="20" t="n">
        <v>3442</v>
      </c>
      <c r="M7" s="20" t="n">
        <v>18121</v>
      </c>
    </row>
    <row r="8" customFormat="false" ht="15" hidden="false" customHeight="false" outlineLevel="0" collapsed="false">
      <c r="A8" s="7" t="n">
        <v>2025</v>
      </c>
      <c r="B8" s="7" t="n">
        <v>47</v>
      </c>
      <c r="C8" s="6" t="n">
        <f aca="false">IF(AND(A8=2025,B8&gt;=43,B8&lt;=51),1,0)</f>
        <v>1</v>
      </c>
      <c r="D8" s="20" t="n">
        <v>69097</v>
      </c>
      <c r="E8" s="20" t="n">
        <v>441961</v>
      </c>
      <c r="F8" s="20" t="n">
        <v>21706</v>
      </c>
      <c r="G8" s="20" t="n">
        <v>139373</v>
      </c>
      <c r="H8" s="20" t="n">
        <v>12765</v>
      </c>
      <c r="I8" s="20" t="n">
        <v>89425</v>
      </c>
      <c r="J8" s="20" t="n">
        <v>22066</v>
      </c>
      <c r="K8" s="20" t="n">
        <v>43885</v>
      </c>
      <c r="L8" s="20" t="n">
        <v>4778</v>
      </c>
      <c r="M8" s="20" t="n">
        <v>18600</v>
      </c>
    </row>
    <row r="9" customFormat="false" ht="15" hidden="false" customHeight="false" outlineLevel="0" collapsed="false">
      <c r="A9" s="7" t="n">
        <v>2025</v>
      </c>
      <c r="B9" s="7" t="n">
        <v>48</v>
      </c>
      <c r="C9" s="6" t="n">
        <f aca="false">IF(AND(A9=2025,B9&gt;=43,B9&lt;=51),1,0)</f>
        <v>1</v>
      </c>
      <c r="D9" s="20" t="n">
        <v>76972</v>
      </c>
      <c r="E9" s="20" t="n">
        <v>446212</v>
      </c>
      <c r="F9" s="20" t="n">
        <v>23935</v>
      </c>
      <c r="G9" s="20" t="n">
        <v>131252</v>
      </c>
      <c r="H9" s="20" t="n">
        <v>14025</v>
      </c>
      <c r="I9" s="20" t="n">
        <v>82790</v>
      </c>
      <c r="J9" s="20" t="n">
        <v>21161</v>
      </c>
      <c r="K9" s="20" t="n">
        <v>48527</v>
      </c>
      <c r="L9" s="20" t="n">
        <v>4899</v>
      </c>
      <c r="M9" s="20" t="n">
        <v>20137</v>
      </c>
    </row>
    <row r="10" customFormat="false" ht="15" hidden="false" customHeight="false" outlineLevel="0" collapsed="false">
      <c r="A10" s="7" t="n">
        <v>2025</v>
      </c>
      <c r="B10" s="7" t="n">
        <v>49</v>
      </c>
      <c r="C10" s="6" t="n">
        <f aca="false">IF(AND(A10=2025,B10&gt;=43,B10&lt;=51),1,0)</f>
        <v>1</v>
      </c>
      <c r="D10" s="20" t="n">
        <v>70086</v>
      </c>
      <c r="E10" s="20" t="n">
        <v>468406</v>
      </c>
      <c r="F10" s="20" t="n">
        <v>25121</v>
      </c>
      <c r="G10" s="20" t="n">
        <v>158880</v>
      </c>
      <c r="H10" s="20" t="n">
        <v>14177</v>
      </c>
      <c r="I10" s="20" t="n">
        <v>86763</v>
      </c>
      <c r="J10" s="20" t="n">
        <v>16480</v>
      </c>
      <c r="K10" s="20" t="n">
        <v>46578</v>
      </c>
      <c r="L10" s="20" t="n">
        <v>4305</v>
      </c>
      <c r="M10" s="20" t="n">
        <v>19312</v>
      </c>
    </row>
    <row r="11" customFormat="false" ht="15" hidden="false" customHeight="false" outlineLevel="0" collapsed="false">
      <c r="A11" s="7" t="n">
        <v>2025</v>
      </c>
      <c r="B11" s="7" t="n">
        <v>50</v>
      </c>
      <c r="C11" s="6" t="n">
        <f aca="false">IF(AND(A11=2025,B11&gt;=43,B11&lt;=51),1,0)</f>
        <v>1</v>
      </c>
      <c r="D11" s="20" t="n">
        <v>73165</v>
      </c>
      <c r="E11" s="20" t="n">
        <v>479841</v>
      </c>
      <c r="F11" s="20" t="n">
        <v>22034</v>
      </c>
      <c r="G11" s="20" t="n">
        <v>149803</v>
      </c>
      <c r="H11" s="20" t="n">
        <v>15201</v>
      </c>
      <c r="I11" s="20" t="n">
        <v>97714</v>
      </c>
      <c r="J11" s="20" t="n">
        <v>15388</v>
      </c>
      <c r="K11" s="20" t="n">
        <v>45636</v>
      </c>
      <c r="L11" s="20" t="n">
        <v>4258</v>
      </c>
      <c r="M11" s="20" t="n">
        <v>19786</v>
      </c>
    </row>
    <row r="12" customFormat="false" ht="15" hidden="false" customHeight="false" outlineLevel="0" collapsed="false">
      <c r="A12" s="7" t="n">
        <v>2025</v>
      </c>
      <c r="B12" s="7" t="n">
        <v>51</v>
      </c>
      <c r="C12" s="6" t="n">
        <f aca="false">IF(AND(A12=2025,B12&gt;=43,B12&lt;=51),1,0)</f>
        <v>1</v>
      </c>
      <c r="D12" s="20" t="n">
        <v>70172</v>
      </c>
      <c r="E12" s="20" t="n">
        <v>523470</v>
      </c>
      <c r="F12" s="20" t="n">
        <v>18027</v>
      </c>
      <c r="G12" s="20" t="n">
        <v>142613</v>
      </c>
      <c r="H12" s="20" t="n">
        <v>13536</v>
      </c>
      <c r="I12" s="20" t="n">
        <v>92754</v>
      </c>
      <c r="J12" s="20" t="n">
        <v>11600</v>
      </c>
      <c r="K12" s="20" t="n">
        <v>44247</v>
      </c>
      <c r="L12" s="20" t="n">
        <v>3270</v>
      </c>
      <c r="M12" s="20" t="n">
        <v>20516</v>
      </c>
    </row>
    <row r="13" customFormat="false" ht="15" hidden="false" customHeight="false" outlineLevel="0" collapsed="false">
      <c r="A13" s="7" t="n">
        <v>2025</v>
      </c>
      <c r="B13" s="7" t="n">
        <v>52</v>
      </c>
      <c r="C13" s="6" t="n">
        <f aca="false">IF(AND(A13=2025,B13&gt;=43,B13&lt;=51),1,0)</f>
        <v>0</v>
      </c>
      <c r="D13" s="20" t="n">
        <v>52505</v>
      </c>
      <c r="E13" s="20" t="n">
        <v>495635</v>
      </c>
      <c r="F13" s="20" t="n">
        <v>16540</v>
      </c>
      <c r="G13" s="20" t="n">
        <v>142578</v>
      </c>
      <c r="H13" s="20" t="n">
        <v>12768</v>
      </c>
      <c r="I13" s="20" t="n">
        <v>93245</v>
      </c>
      <c r="J13" s="20" t="n">
        <v>8456</v>
      </c>
      <c r="K13" s="20" t="n">
        <v>41640</v>
      </c>
      <c r="L13" s="20" t="n">
        <v>2560</v>
      </c>
      <c r="M13" s="20" t="n">
        <v>20823</v>
      </c>
    </row>
    <row r="14" customFormat="false" ht="15" hidden="false" customHeight="false" outlineLevel="0" collapsed="false">
      <c r="A14" s="7" t="n">
        <v>2026</v>
      </c>
      <c r="B14" s="7" t="n">
        <v>1</v>
      </c>
      <c r="C14" s="6" t="n">
        <f aca="false">IF(AND(A14=2025,B14&gt;=43,B14&lt;=51),1,0)</f>
        <v>0</v>
      </c>
      <c r="D14" s="20" t="n">
        <v>39874</v>
      </c>
      <c r="E14" s="20" t="n">
        <v>467759</v>
      </c>
      <c r="F14" s="20" t="n">
        <v>13630</v>
      </c>
      <c r="G14" s="20" t="n">
        <v>138981</v>
      </c>
      <c r="H14" s="20" t="n">
        <v>9617</v>
      </c>
      <c r="I14" s="20" t="n">
        <v>81782</v>
      </c>
      <c r="J14" s="20" t="n">
        <v>8658</v>
      </c>
      <c r="K14" s="20" t="n">
        <v>42417</v>
      </c>
      <c r="L14" s="20" t="n">
        <v>1932</v>
      </c>
      <c r="M14" s="20" t="n">
        <v>18635</v>
      </c>
    </row>
    <row r="15" customFormat="false" ht="15" hidden="false" customHeight="false" outlineLevel="0" collapsed="false">
      <c r="A15" s="7" t="n">
        <v>2026</v>
      </c>
      <c r="B15" s="7" t="n">
        <v>2</v>
      </c>
      <c r="C15" s="6" t="n">
        <f aca="false">IF(AND(A15=2025,B15&gt;=43,B15&lt;=51),1,0)</f>
        <v>0</v>
      </c>
      <c r="D15" s="20" t="n">
        <v>27753</v>
      </c>
      <c r="E15" s="20" t="n">
        <v>438678</v>
      </c>
      <c r="F15" s="20" t="n">
        <v>13788</v>
      </c>
      <c r="G15" s="20" t="n">
        <v>145790</v>
      </c>
      <c r="H15" s="20" t="n">
        <v>8723</v>
      </c>
      <c r="I15" s="20" t="n">
        <v>82852</v>
      </c>
      <c r="J15" s="20" t="n">
        <v>8763</v>
      </c>
      <c r="K15" s="20" t="n">
        <v>39464</v>
      </c>
      <c r="L15" s="20" t="n">
        <v>1390</v>
      </c>
      <c r="M15" s="20" t="n">
        <v>18268</v>
      </c>
    </row>
    <row r="16" customFormat="false" ht="15" hidden="false" customHeight="false" outlineLevel="0" collapsed="false">
      <c r="A16" s="7" t="n">
        <v>2026</v>
      </c>
      <c r="B16" s="7" t="n">
        <v>3</v>
      </c>
      <c r="C16" s="6" t="n">
        <f aca="false">IF(AND(A16=2025,B16&gt;=43,B16&lt;=51),1,0)</f>
        <v>0</v>
      </c>
      <c r="D16" s="20" t="n">
        <v>25346</v>
      </c>
      <c r="E16" s="20" t="n">
        <v>404096</v>
      </c>
      <c r="F16" s="20" t="n">
        <v>9700</v>
      </c>
      <c r="G16" s="20" t="n">
        <v>117320</v>
      </c>
      <c r="H16" s="20" t="n">
        <v>8583</v>
      </c>
      <c r="I16" s="20" t="n">
        <v>84197</v>
      </c>
      <c r="J16" s="20" t="n">
        <v>10271</v>
      </c>
      <c r="K16" s="20" t="n">
        <v>37553</v>
      </c>
      <c r="L16" s="20" t="n">
        <v>1119</v>
      </c>
      <c r="M16" s="20" t="n">
        <v>16937</v>
      </c>
    </row>
    <row r="17" customFormat="false" ht="15" hidden="false" customHeight="false" outlineLevel="0" collapsed="false">
      <c r="A17" s="7" t="n">
        <v>2026</v>
      </c>
      <c r="B17" s="7" t="n">
        <v>4</v>
      </c>
      <c r="C17" s="6" t="n">
        <f aca="false">IF(AND(A17=2025,B17&gt;=43,B17&lt;=51),1,0)</f>
        <v>0</v>
      </c>
      <c r="D17" s="20" t="n">
        <v>27198</v>
      </c>
      <c r="E17" s="20" t="n">
        <v>418747</v>
      </c>
      <c r="F17" s="20" t="n">
        <v>11640</v>
      </c>
      <c r="G17" s="20" t="n">
        <v>128818</v>
      </c>
      <c r="H17" s="20" t="n">
        <v>8573</v>
      </c>
      <c r="I17" s="20" t="n">
        <v>83296</v>
      </c>
      <c r="J17" s="20" t="n">
        <v>10506</v>
      </c>
      <c r="K17" s="20" t="n">
        <v>37404</v>
      </c>
      <c r="L17" s="20" t="n">
        <v>1325</v>
      </c>
      <c r="M17" s="20" t="n">
        <v>18386</v>
      </c>
    </row>
    <row r="18" customFormat="false" ht="15" hidden="false" customHeight="false" outlineLevel="0" collapsed="false">
      <c r="A18" s="7" t="n">
        <v>2026</v>
      </c>
      <c r="B18" s="7" t="n">
        <v>5</v>
      </c>
      <c r="C18" s="6" t="n">
        <f aca="false">IF(AND(A18=2025,B18&gt;=43,B18&lt;=51),1,0)</f>
        <v>0</v>
      </c>
      <c r="D18" s="20" t="n">
        <v>36847</v>
      </c>
      <c r="E18" s="20" t="n">
        <v>445574</v>
      </c>
      <c r="F18" s="20" t="n">
        <v>13487</v>
      </c>
      <c r="G18" s="20" t="n">
        <v>134635</v>
      </c>
      <c r="H18" s="20" t="n">
        <v>10178</v>
      </c>
      <c r="I18" s="20" t="n">
        <v>87403</v>
      </c>
      <c r="J18" s="20" t="n">
        <v>15299</v>
      </c>
      <c r="K18" s="20" t="n">
        <v>40246</v>
      </c>
      <c r="L18" s="20" t="n">
        <v>1865</v>
      </c>
      <c r="M18" s="20" t="n">
        <v>19015</v>
      </c>
    </row>
    <row r="19" customFormat="false" ht="15" hidden="false" customHeight="false" outlineLevel="0" collapsed="false">
      <c r="A19" s="7" t="n">
        <v>2026</v>
      </c>
      <c r="B19" s="7" t="n">
        <v>6</v>
      </c>
      <c r="C19" s="6" t="n">
        <f aca="false">IF(AND(A19=2025,B19&gt;=43,B19&lt;=51),1,0)</f>
        <v>0</v>
      </c>
      <c r="D19" s="20" t="n">
        <v>46606</v>
      </c>
      <c r="E19" s="20" t="n">
        <v>460042</v>
      </c>
      <c r="F19" s="20" t="n">
        <v>15191</v>
      </c>
      <c r="G19" s="20" t="n">
        <v>141448</v>
      </c>
      <c r="H19" s="20" t="n">
        <v>10911</v>
      </c>
      <c r="I19" s="20" t="n">
        <v>86499</v>
      </c>
      <c r="J19" s="20" t="n">
        <v>15240</v>
      </c>
      <c r="K19" s="20" t="n">
        <v>45978</v>
      </c>
      <c r="L19" s="20" t="n">
        <v>2354</v>
      </c>
      <c r="M19" s="20" t="n">
        <v>18294</v>
      </c>
    </row>
    <row r="20" customFormat="false" ht="15" hidden="false" customHeight="false" outlineLevel="0" collapsed="false">
      <c r="A20" s="7" t="n">
        <v>2026</v>
      </c>
      <c r="B20" s="7" t="n">
        <v>7</v>
      </c>
      <c r="C20" s="6" t="n">
        <f aca="false">IF(AND(A20=2025,B20&gt;=43,B20&lt;=51),1,0)</f>
        <v>0</v>
      </c>
      <c r="D20" s="20" t="n">
        <v>48629</v>
      </c>
      <c r="E20" s="20" t="n">
        <v>465468</v>
      </c>
      <c r="F20" s="20" t="n">
        <v>16818</v>
      </c>
      <c r="G20" s="20" t="n">
        <v>135483</v>
      </c>
      <c r="H20" s="20" t="n">
        <v>10877</v>
      </c>
      <c r="I20" s="20" t="n">
        <v>86604</v>
      </c>
      <c r="J20" s="20" t="n">
        <v>16793</v>
      </c>
      <c r="K20" s="20" t="n">
        <v>43579</v>
      </c>
      <c r="L20" s="20" t="n">
        <v>2916</v>
      </c>
      <c r="M20" s="20" t="n">
        <v>19154</v>
      </c>
    </row>
    <row r="21" customFormat="false" ht="15" hidden="false" customHeight="false" outlineLevel="0" collapsed="false">
      <c r="A21" s="7" t="n">
        <v>2026</v>
      </c>
      <c r="B21" s="7" t="n">
        <v>8</v>
      </c>
      <c r="C21" s="6" t="n">
        <f aca="false">IF(AND(A21=2025,B21&gt;=43,B21&lt;=51),1,0)</f>
        <v>0</v>
      </c>
      <c r="D21" s="20" t="n">
        <v>53730</v>
      </c>
      <c r="E21" s="20" t="n">
        <v>465557</v>
      </c>
      <c r="F21" s="20" t="n">
        <v>18411</v>
      </c>
      <c r="G21" s="20" t="n">
        <v>144237</v>
      </c>
      <c r="H21" s="20" t="n">
        <v>11321</v>
      </c>
      <c r="I21" s="20" t="n">
        <v>85785</v>
      </c>
      <c r="J21" s="20" t="n">
        <v>14959</v>
      </c>
      <c r="K21" s="20" t="n">
        <v>40677</v>
      </c>
      <c r="L21" s="20" t="n">
        <v>2900</v>
      </c>
      <c r="M21" s="20" t="n">
        <v>19628</v>
      </c>
    </row>
    <row r="22" customFormat="false" ht="15" hidden="false" customHeight="false" outlineLevel="0" collapsed="false">
      <c r="A22" s="7" t="n">
        <v>2026</v>
      </c>
      <c r="B22" s="7" t="n">
        <v>9</v>
      </c>
      <c r="C22" s="6" t="n">
        <f aca="false">IF(AND(A22=2025,B22&gt;=43,B22&lt;=51),1,0)</f>
        <v>0</v>
      </c>
      <c r="D22" s="20" t="n">
        <v>54923</v>
      </c>
      <c r="E22" s="20" t="n">
        <v>480285</v>
      </c>
      <c r="F22" s="20" t="n">
        <v>18224</v>
      </c>
      <c r="G22" s="20" t="n">
        <v>150718</v>
      </c>
      <c r="H22" s="20" t="n">
        <v>12806</v>
      </c>
      <c r="I22" s="20" t="n">
        <v>90481</v>
      </c>
      <c r="J22" s="20" t="n">
        <v>16975</v>
      </c>
      <c r="K22" s="20" t="n">
        <v>44471</v>
      </c>
      <c r="L22" s="20" t="n">
        <v>2999</v>
      </c>
      <c r="M22" s="20" t="n">
        <v>19118</v>
      </c>
    </row>
    <row r="23" customFormat="false" ht="15" hidden="false" customHeight="false" outlineLevel="0" collapsed="false">
      <c r="A23" s="7" t="n">
        <v>2026</v>
      </c>
      <c r="B23" s="7" t="n">
        <v>10</v>
      </c>
      <c r="C23" s="6" t="n">
        <f aca="false">IF(AND(A23=2025,B23&gt;=43,B23&lt;=51),1,0)</f>
        <v>0</v>
      </c>
      <c r="D23" s="20" t="n">
        <v>49566</v>
      </c>
      <c r="E23" s="20" t="n">
        <v>477417</v>
      </c>
      <c r="F23" s="20" t="n">
        <v>19286</v>
      </c>
      <c r="G23" s="20" t="n">
        <v>147845</v>
      </c>
      <c r="H23" s="20" t="n">
        <v>12861</v>
      </c>
      <c r="I23" s="20" t="n">
        <v>93904</v>
      </c>
      <c r="J23" s="20" t="n">
        <v>16857</v>
      </c>
      <c r="K23" s="20" t="n">
        <v>46860</v>
      </c>
      <c r="L23" s="20" t="n">
        <v>3010</v>
      </c>
      <c r="M23" s="20" t="n">
        <v>19472</v>
      </c>
    </row>
    <row r="24" customFormat="false" ht="15" hidden="false" customHeight="false" outlineLevel="0" collapsed="false">
      <c r="A24" s="7" t="n">
        <v>2026</v>
      </c>
      <c r="B24" s="7" t="n">
        <v>11</v>
      </c>
      <c r="C24" s="6" t="n">
        <f aca="false">IF(AND(A24=2025,B24&gt;=43,B24&lt;=51),1,0)</f>
        <v>0</v>
      </c>
      <c r="D24" s="20" t="n">
        <v>52245</v>
      </c>
      <c r="E24" s="20" t="n">
        <v>490074</v>
      </c>
      <c r="F24" s="20" t="n">
        <v>18407</v>
      </c>
      <c r="G24" s="20" t="n">
        <v>144676</v>
      </c>
      <c r="H24" s="20" t="n">
        <v>12626</v>
      </c>
      <c r="I24" s="20" t="n">
        <v>94629</v>
      </c>
      <c r="J24" s="20" t="n">
        <v>15105</v>
      </c>
      <c r="K24" s="20" t="n">
        <v>41409</v>
      </c>
      <c r="L24" s="20" t="n">
        <v>3111</v>
      </c>
      <c r="M24" s="20" t="n">
        <v>20902</v>
      </c>
    </row>
    <row r="25" customFormat="false" ht="15" hidden="false" customHeight="false" outlineLevel="0" collapsed="false">
      <c r="A25" s="7" t="n">
        <v>2026</v>
      </c>
      <c r="B25" s="7" t="n">
        <v>12</v>
      </c>
      <c r="C25" s="6" t="n">
        <f aca="false">IF(AND(A25=2025,B25&gt;=43,B25&lt;=51),1,0)</f>
        <v>0</v>
      </c>
      <c r="D25" s="20" t="n">
        <v>57127</v>
      </c>
      <c r="E25" s="20" t="n">
        <v>469706</v>
      </c>
      <c r="F25" s="20" t="n">
        <v>20796</v>
      </c>
      <c r="G25" s="20" t="n">
        <v>152545</v>
      </c>
      <c r="H25" s="20" t="n">
        <v>13199</v>
      </c>
      <c r="I25" s="20" t="n">
        <v>90207</v>
      </c>
      <c r="J25" s="20" t="n">
        <v>17753</v>
      </c>
      <c r="K25" s="20" t="n">
        <v>45550</v>
      </c>
      <c r="L25" s="20" t="n">
        <v>3203</v>
      </c>
      <c r="M25" s="20" t="n">
        <v>20813</v>
      </c>
    </row>
    <row r="26" customFormat="false" ht="15" hidden="false" customHeight="false" outlineLevel="0" collapsed="false">
      <c r="A26" s="7" t="n">
        <v>2026</v>
      </c>
      <c r="B26" s="7" t="n">
        <v>13</v>
      </c>
      <c r="C26" s="6" t="n">
        <f aca="false">IF(AND(A26=2025,B26&gt;=43,B26&lt;=51),1,0)</f>
        <v>0</v>
      </c>
      <c r="D26" s="20" t="n">
        <v>50625</v>
      </c>
      <c r="E26" s="20" t="n">
        <v>436038</v>
      </c>
      <c r="F26" s="20" t="n">
        <v>19165</v>
      </c>
      <c r="G26" s="20" t="n">
        <v>149379</v>
      </c>
      <c r="H26" s="20" t="n">
        <v>13447</v>
      </c>
      <c r="I26" s="20" t="n">
        <v>91798</v>
      </c>
      <c r="J26" s="20" t="n">
        <v>16494</v>
      </c>
      <c r="K26" s="20" t="n">
        <v>44635</v>
      </c>
      <c r="L26" s="20" t="n">
        <v>3171</v>
      </c>
      <c r="M26" s="20" t="n">
        <v>20807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18" min="3" style="0" width="13"/>
  </cols>
  <sheetData>
    <row r="1" customFormat="false" ht="17.35" hidden="false" customHeight="false" outlineLevel="0" collapsed="false">
      <c r="A1" s="1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52.2" hidden="false" customHeight="false" outlineLevel="0" collapsed="false">
      <c r="A4" s="12" t="s">
        <v>53</v>
      </c>
      <c r="B4" s="12" t="s">
        <v>54</v>
      </c>
      <c r="C4" s="12" t="s">
        <v>68</v>
      </c>
      <c r="D4" s="12" t="s">
        <v>69</v>
      </c>
      <c r="E4" s="12" t="s">
        <v>70</v>
      </c>
      <c r="F4" s="12" t="s">
        <v>71</v>
      </c>
      <c r="G4" s="12" t="s">
        <v>72</v>
      </c>
      <c r="H4" s="12" t="s">
        <v>73</v>
      </c>
      <c r="I4" s="12" t="s">
        <v>74</v>
      </c>
      <c r="J4" s="12" t="s">
        <v>75</v>
      </c>
      <c r="K4" s="12" t="s">
        <v>76</v>
      </c>
      <c r="L4" s="12" t="s">
        <v>77</v>
      </c>
      <c r="M4" s="12" t="s">
        <v>78</v>
      </c>
      <c r="N4" s="12" t="s">
        <v>79</v>
      </c>
      <c r="O4" s="12" t="s">
        <v>80</v>
      </c>
      <c r="P4" s="12" t="s">
        <v>81</v>
      </c>
      <c r="Q4" s="12" t="s">
        <v>82</v>
      </c>
      <c r="R4" s="12" t="s">
        <v>83</v>
      </c>
    </row>
    <row r="5" customFormat="false" ht="15" hidden="false" customHeight="false" outlineLevel="0" collapsed="false">
      <c r="A5" s="4" t="s">
        <v>84</v>
      </c>
      <c r="B5" s="4" t="s">
        <v>85</v>
      </c>
      <c r="C5" s="21" t="n">
        <f aca="false">Parametros!F10</f>
        <v>0.8019</v>
      </c>
      <c r="D5" s="21" t="n">
        <f aca="false">Parametros!F11</f>
        <v>0.7078</v>
      </c>
      <c r="E5" s="21" t="n">
        <f aca="false">Parametros!F12</f>
        <v>0.6875</v>
      </c>
      <c r="F5" s="21" t="n">
        <f aca="false">Parametros!F13</f>
        <v>0.7092</v>
      </c>
      <c r="G5" s="21" t="n">
        <f aca="false">Parametros!F14</f>
        <v>0.6306</v>
      </c>
      <c r="H5" s="2"/>
      <c r="I5" s="2"/>
      <c r="J5" s="2"/>
      <c r="K5" s="2"/>
      <c r="L5" s="2"/>
      <c r="M5" s="2"/>
      <c r="N5" s="21" t="n">
        <f aca="false">Parametros!F10</f>
        <v>0.8019</v>
      </c>
      <c r="O5" s="21" t="n">
        <f aca="false">Parametros!F11</f>
        <v>0.7078</v>
      </c>
      <c r="P5" s="21" t="n">
        <f aca="false">Parametros!F12</f>
        <v>0.6875</v>
      </c>
      <c r="Q5" s="21" t="n">
        <f aca="false">Parametros!F13</f>
        <v>0.7092</v>
      </c>
      <c r="R5" s="21" t="n">
        <f aca="false">Parametros!F14</f>
        <v>0.6306</v>
      </c>
    </row>
    <row r="6" customFormat="false" ht="15" hidden="false" customHeight="false" outlineLevel="0" collapsed="false">
      <c r="A6" s="8" t="n">
        <f aca="false">Forecast!A4</f>
        <v>2025</v>
      </c>
      <c r="B6" s="8" t="n">
        <f aca="false">Forecast!B4</f>
        <v>43</v>
      </c>
      <c r="C6" s="22" t="n">
        <f aca="false">C5+(Parametros!$D$10*Forecast!D4*(1+Parametros!$C$4*Forecast!$C4)-Parametros!$E$10*Forecast!E4)/100</f>
        <v>0.779539117923133</v>
      </c>
      <c r="D6" s="22" t="n">
        <f aca="false">D5+(Parametros!$D$11*Forecast!F4*(1+Parametros!$C$4*Forecast!$C4)-Parametros!$E$11*Forecast!G4)/100</f>
        <v>0.687523507651673</v>
      </c>
      <c r="E6" s="22" t="n">
        <f aca="false">E5+(Parametros!$D$12*Forecast!H4*(1+Parametros!$C$4*Forecast!$C4)-Parametros!$E$12*Forecast!I4)/100</f>
        <v>0.644911788593479</v>
      </c>
      <c r="F6" s="22" t="n">
        <f aca="false">F5+(Parametros!$D$13*Forecast!J4*(1+Parametros!$C$4*Forecast!$C4)-Parametros!$E$13*Forecast!K4)/100</f>
        <v>0.700274039490883</v>
      </c>
      <c r="G6" s="22" t="n">
        <f aca="false">G5+(Parametros!$D$14*Forecast!L4*(1+Parametros!$C$4*Forecast!$C4)-Parametros!$E$14*Forecast!M4)/100</f>
        <v>0.621424409730005</v>
      </c>
      <c r="H6" s="23" t="n">
        <f aca="false">MAX(0,C6-1)*Parametros!$C$10</f>
        <v>0</v>
      </c>
      <c r="I6" s="23" t="n">
        <f aca="false">MAX(0,D6-1)*Parametros!$C$11</f>
        <v>0</v>
      </c>
      <c r="J6" s="23" t="n">
        <f aca="false">MAX(0,E6-1)*Parametros!$C$12</f>
        <v>0</v>
      </c>
      <c r="K6" s="23" t="n">
        <f aca="false">MAX(0,F6-1)*Parametros!$C$13</f>
        <v>0</v>
      </c>
      <c r="L6" s="23" t="n">
        <f aca="false">MAX(0,G6-1)*Parametros!$C$14</f>
        <v>0</v>
      </c>
      <c r="M6" s="22" t="n">
        <f aca="false">(C6*Parametros!$C$10+D6*Parametros!$C$11+E6*Parametros!$C$12+F6*Parametros!$C$13)/SUM(Parametros!$C$10:$C$13)</f>
        <v>0.730197769997586</v>
      </c>
      <c r="N6" s="22" t="n">
        <f aca="false">N5+(Parametros!$D$10*Forecast!D4*(1+(Parametros!$C$4+Parametros!$C$6)*Forecast!$C4)-Parametros!$E$10*Forecast!E4)/100</f>
        <v>0.796295195991933</v>
      </c>
      <c r="O6" s="22" t="n">
        <f aca="false">O5+(Parametros!$D$11*Forecast!F4*(1+(Parametros!$C$4+Parametros!$C$6)*Forecast!$C4)-Parametros!$E$11*Forecast!G4)/100</f>
        <v>0.703381222864092</v>
      </c>
      <c r="P6" s="22" t="n">
        <f aca="false">P5+(Parametros!$D$12*Forecast!H4*(1+(Parametros!$C$4+Parametros!$C$6)*Forecast!$C4)-Parametros!$E$12*Forecast!I4)/100</f>
        <v>0.660446704748549</v>
      </c>
      <c r="Q6" s="22" t="n">
        <f aca="false">Q5+(Parametros!$D$13*Forecast!J4*(1+(Parametros!$C$4+Parametros!$C$6)*Forecast!$C4)-Parametros!$E$13*Forecast!K4)/100</f>
        <v>0.710401792327386</v>
      </c>
      <c r="R6" s="22" t="n">
        <f aca="false">R5+(Parametros!$D$14*Forecast!L4*(1+(Parametros!$C$4+Parametros!$C$6)*Forecast!$C4)-Parametros!$E$14*Forecast!M4)/100</f>
        <v>0.634961720581634</v>
      </c>
    </row>
    <row r="7" customFormat="false" ht="15" hidden="false" customHeight="false" outlineLevel="0" collapsed="false">
      <c r="A7" s="8" t="n">
        <f aca="false">Forecast!A5</f>
        <v>2025</v>
      </c>
      <c r="B7" s="8" t="n">
        <f aca="false">Forecast!B5</f>
        <v>44</v>
      </c>
      <c r="C7" s="22" t="n">
        <f aca="false">C6+(Parametros!$D$10*Forecast!D5*(1+Parametros!$C$4*Forecast!$C5)-Parametros!$E$10*Forecast!E5)/100</f>
        <v>0.761343258895342</v>
      </c>
      <c r="D7" s="22" t="n">
        <f aca="false">D6+(Parametros!$D$11*Forecast!F5*(1+Parametros!$C$4*Forecast!$C5)-Parametros!$E$11*Forecast!G5)/100</f>
        <v>0.665295541083497</v>
      </c>
      <c r="E7" s="22" t="n">
        <f aca="false">E6+(Parametros!$D$12*Forecast!H5*(1+Parametros!$C$4*Forecast!$C5)-Parametros!$E$12*Forecast!I5)/100</f>
        <v>0.614629555275944</v>
      </c>
      <c r="F7" s="22" t="n">
        <f aca="false">F6+(Parametros!$D$13*Forecast!J5*(1+Parametros!$C$4*Forecast!$C5)-Parametros!$E$13*Forecast!K5)/100</f>
        <v>0.724984120175013</v>
      </c>
      <c r="G7" s="22" t="n">
        <f aca="false">G6+(Parametros!$D$14*Forecast!L5*(1+Parametros!$C$4*Forecast!$C5)-Parametros!$E$14*Forecast!M5)/100</f>
        <v>0.604613473838005</v>
      </c>
      <c r="H7" s="23" t="n">
        <f aca="false">MAX(0,C7-1)*Parametros!$C$10</f>
        <v>0</v>
      </c>
      <c r="I7" s="23" t="n">
        <f aca="false">MAX(0,D7-1)*Parametros!$C$11</f>
        <v>0</v>
      </c>
      <c r="J7" s="23" t="n">
        <f aca="false">MAX(0,E7-1)*Parametros!$C$12</f>
        <v>0</v>
      </c>
      <c r="K7" s="23" t="n">
        <f aca="false">MAX(0,F7-1)*Parametros!$C$13</f>
        <v>0</v>
      </c>
      <c r="L7" s="23" t="n">
        <f aca="false">MAX(0,G7-1)*Parametros!$C$14</f>
        <v>0</v>
      </c>
      <c r="M7" s="22" t="n">
        <f aca="false">(C7*Parametros!$C$10+D7*Parametros!$C$11+E7*Parametros!$C$12+F7*Parametros!$C$13)/SUM(Parametros!$C$10:$C$13)</f>
        <v>0.716316186618688</v>
      </c>
      <c r="N7" s="22" t="n">
        <f aca="false">N6+(Parametros!$D$10*Forecast!D5*(1+(Parametros!$C$4+Parametros!$C$6)*Forecast!$C5)-Parametros!$E$10*Forecast!E5)/100</f>
        <v>0.795153251603258</v>
      </c>
      <c r="O7" s="22" t="n">
        <f aca="false">O6+(Parametros!$D$11*Forecast!F5*(1+(Parametros!$C$4+Parametros!$C$6)*Forecast!$C5)-Parametros!$E$11*Forecast!G5)/100</f>
        <v>0.698289448444632</v>
      </c>
      <c r="P7" s="22" t="n">
        <f aca="false">P6+(Parametros!$D$12*Forecast!H5*(1+(Parametros!$C$4+Parametros!$C$6)*Forecast!$C5)-Parametros!$E$12*Forecast!I5)/100</f>
        <v>0.647200337761429</v>
      </c>
      <c r="Q7" s="22" t="n">
        <f aca="false">Q6+(Parametros!$D$13*Forecast!J5*(1+(Parametros!$C$4+Parametros!$C$6)*Forecast!$C5)-Parametros!$E$13*Forecast!K5)/100</f>
        <v>0.748347880419951</v>
      </c>
      <c r="R7" s="22" t="n">
        <f aca="false">R6+(Parametros!$D$14*Forecast!L5*(1+(Parametros!$C$4+Parametros!$C$6)*Forecast!$C5)-Parametros!$E$14*Forecast!M5)/100</f>
        <v>0.631296994495856</v>
      </c>
    </row>
    <row r="8" customFormat="false" ht="15" hidden="false" customHeight="false" outlineLevel="0" collapsed="false">
      <c r="A8" s="8" t="n">
        <f aca="false">Forecast!A6</f>
        <v>2025</v>
      </c>
      <c r="B8" s="8" t="n">
        <f aca="false">Forecast!B6</f>
        <v>45</v>
      </c>
      <c r="C8" s="22" t="n">
        <f aca="false">C7+(Parametros!$D$10*Forecast!D6*(1+Parametros!$C$4*Forecast!$C6)-Parametros!$E$10*Forecast!E6)/100</f>
        <v>0.758864427678613</v>
      </c>
      <c r="D8" s="22" t="n">
        <f aca="false">D7+(Parametros!$D$11*Forecast!F6*(1+Parametros!$C$4*Forecast!$C6)-Parametros!$E$11*Forecast!G6)/100</f>
        <v>0.641159399463162</v>
      </c>
      <c r="E8" s="22" t="n">
        <f aca="false">E7+(Parametros!$D$12*Forecast!H6*(1+Parametros!$C$4*Forecast!$C6)-Parametros!$E$12*Forecast!I6)/100</f>
        <v>0.587350993469438</v>
      </c>
      <c r="F8" s="22" t="n">
        <f aca="false">F7+(Parametros!$D$13*Forecast!J6*(1+Parametros!$C$4*Forecast!$C6)-Parametros!$E$13*Forecast!K6)/100</f>
        <v>0.764627432288966</v>
      </c>
      <c r="G8" s="22" t="n">
        <f aca="false">G7+(Parametros!$D$14*Forecast!L6*(1+Parametros!$C$4*Forecast!$C6)-Parametros!$E$14*Forecast!M6)/100</f>
        <v>0.602722138678677</v>
      </c>
      <c r="H8" s="23" t="n">
        <f aca="false">MAX(0,C8-1)*Parametros!$C$10</f>
        <v>0</v>
      </c>
      <c r="I8" s="23" t="n">
        <f aca="false">MAX(0,D8-1)*Parametros!$C$11</f>
        <v>0</v>
      </c>
      <c r="J8" s="23" t="n">
        <f aca="false">MAX(0,E8-1)*Parametros!$C$12</f>
        <v>0</v>
      </c>
      <c r="K8" s="23" t="n">
        <f aca="false">MAX(0,F8-1)*Parametros!$C$13</f>
        <v>0</v>
      </c>
      <c r="L8" s="23" t="n">
        <f aca="false">MAX(0,G8-1)*Parametros!$C$14</f>
        <v>0</v>
      </c>
      <c r="M8" s="22" t="n">
        <f aca="false">(C8*Parametros!$C$10+D8*Parametros!$C$11+E8*Parametros!$C$12+F8*Parametros!$C$13)/SUM(Parametros!$C$10:$C$13)</f>
        <v>0.712763110713797</v>
      </c>
      <c r="N8" s="22" t="n">
        <f aca="false">N7+(Parametros!$D$10*Forecast!D6*(1+(Parametros!$C$4+Parametros!$C$6)*Forecast!$C6)-Parametros!$E$10*Forecast!E6)/100</f>
        <v>0.811157807544403</v>
      </c>
      <c r="O8" s="22" t="n">
        <f aca="false">O7+(Parametros!$D$11*Forecast!F6*(1+(Parametros!$C$4+Parametros!$C$6)*Forecast!$C6)-Parametros!$E$11*Forecast!G6)/100</f>
        <v>0.69141877084832</v>
      </c>
      <c r="P8" s="22" t="n">
        <f aca="false">P7+(Parametros!$D$12*Forecast!H6*(1+(Parametros!$C$4+Parametros!$C$6)*Forecast!$C6)-Parametros!$E$12*Forecast!I6)/100</f>
        <v>0.636505884108245</v>
      </c>
      <c r="Q8" s="22" t="n">
        <f aca="false">Q7+(Parametros!$D$13*Forecast!J6*(1+(Parametros!$C$4+Parametros!$C$6)*Forecast!$C6)-Parametros!$E$13*Forecast!K6)/100</f>
        <v>0.803189828674528</v>
      </c>
      <c r="R8" s="22" t="n">
        <f aca="false">R7+(Parametros!$D$14*Forecast!L6*(1+(Parametros!$C$4+Parametros!$C$6)*Forecast!$C6)-Parametros!$E$14*Forecast!M6)/100</f>
        <v>0.644783752441864</v>
      </c>
    </row>
    <row r="9" customFormat="false" ht="15" hidden="false" customHeight="false" outlineLevel="0" collapsed="false">
      <c r="A9" s="8" t="n">
        <f aca="false">Forecast!A7</f>
        <v>2025</v>
      </c>
      <c r="B9" s="8" t="n">
        <f aca="false">Forecast!B7</f>
        <v>46</v>
      </c>
      <c r="C9" s="22" t="n">
        <f aca="false">C8+(Parametros!$D$10*Forecast!D7*(1+Parametros!$C$4*Forecast!$C7)-Parametros!$E$10*Forecast!E7)/100</f>
        <v>0.808073879531468</v>
      </c>
      <c r="D9" s="22" t="n">
        <f aca="false">D8+(Parametros!$D$11*Forecast!F7*(1+Parametros!$C$4*Forecast!$C7)-Parametros!$E$11*Forecast!G7)/100</f>
        <v>0.677949606554668</v>
      </c>
      <c r="E9" s="22" t="n">
        <f aca="false">E8+(Parametros!$D$12*Forecast!H7*(1+Parametros!$C$4*Forecast!$C7)-Parametros!$E$12*Forecast!I7)/100</f>
        <v>0.577379028283971</v>
      </c>
      <c r="F9" s="22" t="n">
        <f aca="false">F8+(Parametros!$D$13*Forecast!J7*(1+Parametros!$C$4*Forecast!$C7)-Parametros!$E$13*Forecast!K7)/100</f>
        <v>0.814264630894368</v>
      </c>
      <c r="G9" s="22" t="n">
        <f aca="false">G8+(Parametros!$D$14*Forecast!L7*(1+Parametros!$C$4*Forecast!$C7)-Parametros!$E$14*Forecast!M7)/100</f>
        <v>0.632900211535981</v>
      </c>
      <c r="H9" s="23" t="n">
        <f aca="false">MAX(0,C9-1)*Parametros!$C$10</f>
        <v>0</v>
      </c>
      <c r="I9" s="23" t="n">
        <f aca="false">MAX(0,D9-1)*Parametros!$C$11</f>
        <v>0</v>
      </c>
      <c r="J9" s="23" t="n">
        <f aca="false">MAX(0,E9-1)*Parametros!$C$12</f>
        <v>0</v>
      </c>
      <c r="K9" s="23" t="n">
        <f aca="false">MAX(0,F9-1)*Parametros!$C$13</f>
        <v>0</v>
      </c>
      <c r="L9" s="23" t="n">
        <f aca="false">MAX(0,G9-1)*Parametros!$C$14</f>
        <v>0</v>
      </c>
      <c r="M9" s="22" t="n">
        <f aca="false">(C9*Parametros!$C$10+D9*Parametros!$C$11+E9*Parametros!$C$12+F9*Parametros!$C$13)/SUM(Parametros!$C$10:$C$13)</f>
        <v>0.75145774287533</v>
      </c>
      <c r="N9" s="22" t="n">
        <f aca="false">N8+(Parametros!$D$10*Forecast!D7*(1+(Parametros!$C$4+Parametros!$C$6)*Forecast!$C7)-Parametros!$E$10*Forecast!E7)/100</f>
        <v>0.884370455645823</v>
      </c>
      <c r="O9" s="22" t="n">
        <f aca="false">O8+(Parametros!$D$11*Forecast!F7*(1+(Parametros!$C$4+Parametros!$C$6)*Forecast!$C7)-Parametros!$E$11*Forecast!G7)/100</f>
        <v>0.750734054449846</v>
      </c>
      <c r="P9" s="22" t="n">
        <f aca="false">P8+(Parametros!$D$12*Forecast!H7*(1+(Parametros!$C$4+Parametros!$C$6)*Forecast!$C7)-Parametros!$E$12*Forecast!I7)/100</f>
        <v>0.644604246006539</v>
      </c>
      <c r="Q9" s="22" t="n">
        <f aca="false">Q8+(Parametros!$D$13*Forecast!J7*(1+(Parametros!$C$4+Parametros!$C$6)*Forecast!$C7)-Parametros!$E$13*Forecast!K7)/100</f>
        <v>0.869062682529314</v>
      </c>
      <c r="R9" s="22" t="n">
        <f aca="false">R8+(Parametros!$D$14*Forecast!L7*(1+(Parametros!$C$4+Parametros!$C$6)*Forecast!$C7)-Parametros!$E$14*Forecast!M7)/100</f>
        <v>0.692910755942968</v>
      </c>
    </row>
    <row r="10" customFormat="false" ht="15" hidden="false" customHeight="false" outlineLevel="0" collapsed="false">
      <c r="A10" s="8" t="n">
        <f aca="false">Forecast!A8</f>
        <v>2025</v>
      </c>
      <c r="B10" s="8" t="n">
        <f aca="false">Forecast!B8</f>
        <v>47</v>
      </c>
      <c r="C10" s="22" t="n">
        <f aca="false">C9+(Parametros!$D$10*Forecast!D8*(1+Parametros!$C$4*Forecast!$C8)-Parametros!$E$10*Forecast!E8)/100</f>
        <v>0.868820330599212</v>
      </c>
      <c r="D10" s="22" t="n">
        <f aca="false">D9+(Parametros!$D$11*Forecast!F8*(1+Parametros!$C$4*Forecast!$C8)-Parametros!$E$11*Forecast!G8)/100</f>
        <v>0.719129682150728</v>
      </c>
      <c r="E10" s="22" t="n">
        <f aca="false">E9+(Parametros!$D$12*Forecast!H8*(1+Parametros!$C$4*Forecast!$C8)-Parametros!$E$12*Forecast!I8)/100</f>
        <v>0.581259845330137</v>
      </c>
      <c r="F10" s="22" t="n">
        <f aca="false">F9+(Parametros!$D$13*Forecast!J8*(1+Parametros!$C$4*Forecast!$C8)-Parametros!$E$13*Forecast!K8)/100</f>
        <v>0.850920523056937</v>
      </c>
      <c r="G10" s="22" t="n">
        <f aca="false">G9+(Parametros!$D$14*Forecast!L8*(1+Parametros!$C$4*Forecast!$C8)-Parametros!$E$14*Forecast!M8)/100</f>
        <v>0.728799610764998</v>
      </c>
      <c r="H10" s="23" t="n">
        <f aca="false">MAX(0,C10-1)*Parametros!$C$10</f>
        <v>0</v>
      </c>
      <c r="I10" s="23" t="n">
        <f aca="false">MAX(0,D10-1)*Parametros!$C$11</f>
        <v>0</v>
      </c>
      <c r="J10" s="23" t="n">
        <f aca="false">MAX(0,E10-1)*Parametros!$C$12</f>
        <v>0</v>
      </c>
      <c r="K10" s="23" t="n">
        <f aca="false">MAX(0,F10-1)*Parametros!$C$13</f>
        <v>0</v>
      </c>
      <c r="L10" s="23" t="n">
        <f aca="false">MAX(0,G10-1)*Parametros!$C$14</f>
        <v>0</v>
      </c>
      <c r="M10" s="22" t="n">
        <f aca="false">(C10*Parametros!$C$10+D10*Parametros!$C$11+E10*Parametros!$C$12+F10*Parametros!$C$13)/SUM(Parametros!$C$10:$C$13)</f>
        <v>0.796705533313388</v>
      </c>
      <c r="N10" s="22" t="n">
        <f aca="false">N9+(Parametros!$D$10*Forecast!D8*(1+(Parametros!$C$4+Parametros!$C$6)*Forecast!$C8)-Parametros!$E$10*Forecast!E8)/100</f>
        <v>0.969822325079901</v>
      </c>
      <c r="O10" s="22" t="n">
        <f aca="false">O9+(Parametros!$D$11*Forecast!F8*(1+(Parametros!$C$4+Parametros!$C$6)*Forecast!$C8)-Parametros!$E$11*Forecast!G8)/100</f>
        <v>0.815693581956149</v>
      </c>
      <c r="P10" s="22" t="n">
        <f aca="false">P9+(Parametros!$D$12*Forecast!H8*(1+(Parametros!$C$4+Parametros!$C$6)*Forecast!$C8)-Parametros!$E$12*Forecast!I8)/100</f>
        <v>0.669378878743303</v>
      </c>
      <c r="Q10" s="22" t="n">
        <f aca="false">Q9+(Parametros!$D$13*Forecast!J8*(1+(Parametros!$C$4+Parametros!$C$6)*Forecast!$C8)-Parametros!$E$13*Forecast!K8)/100</f>
        <v>0.921179969052631</v>
      </c>
      <c r="R10" s="22" t="n">
        <f aca="false">R9+(Parametros!$D$14*Forecast!L8*(1+(Parametros!$C$4+Parametros!$C$6)*Forecast!$C8)-Parametros!$E$14*Forecast!M8)/100</f>
        <v>0.813725899104605</v>
      </c>
    </row>
    <row r="11" customFormat="false" ht="15" hidden="false" customHeight="false" outlineLevel="0" collapsed="false">
      <c r="A11" s="8" t="n">
        <f aca="false">Forecast!A9</f>
        <v>2025</v>
      </c>
      <c r="B11" s="8" t="n">
        <f aca="false">Forecast!B9</f>
        <v>48</v>
      </c>
      <c r="C11" s="22" t="n">
        <f aca="false">C10+(Parametros!$D$10*Forecast!D9*(1+Parametros!$C$4*Forecast!$C9)-Parametros!$E$10*Forecast!E9)/100</f>
        <v>0.955931600155217</v>
      </c>
      <c r="D11" s="22" t="n">
        <f aca="false">D10+(Parametros!$D$11*Forecast!F9*(1+Parametros!$C$4*Forecast!$C9)-Parametros!$E$11*Forecast!G9)/100</f>
        <v>0.796185346082273</v>
      </c>
      <c r="E11" s="22" t="n">
        <f aca="false">E10+(Parametros!$D$12*Forecast!H9*(1+Parametros!$C$4*Forecast!$C9)-Parametros!$E$12*Forecast!I9)/100</f>
        <v>0.620978891684454</v>
      </c>
      <c r="F11" s="22" t="n">
        <f aca="false">F10+(Parametros!$D$13*Forecast!J9*(1+Parametros!$C$4*Forecast!$C9)-Parametros!$E$13*Forecast!K9)/100</f>
        <v>0.868757998254622</v>
      </c>
      <c r="G11" s="22" t="n">
        <f aca="false">G10+(Parametros!$D$14*Forecast!L9*(1+Parametros!$C$4*Forecast!$C9)-Parametros!$E$14*Forecast!M9)/100</f>
        <v>0.818344386019599</v>
      </c>
      <c r="H11" s="23" t="n">
        <f aca="false">MAX(0,C11-1)*Parametros!$C$10</f>
        <v>0</v>
      </c>
      <c r="I11" s="23" t="n">
        <f aca="false">MAX(0,D11-1)*Parametros!$C$11</f>
        <v>0</v>
      </c>
      <c r="J11" s="23" t="n">
        <f aca="false">MAX(0,E11-1)*Parametros!$C$12</f>
        <v>0</v>
      </c>
      <c r="K11" s="23" t="n">
        <f aca="false">MAX(0,F11-1)*Parametros!$C$13</f>
        <v>0</v>
      </c>
      <c r="L11" s="23" t="n">
        <f aca="false">MAX(0,G11-1)*Parametros!$C$14</f>
        <v>0</v>
      </c>
      <c r="M11" s="22" t="n">
        <f aca="false">(C11*Parametros!$C$10+D11*Parametros!$C$11+E11*Parametros!$C$12+F11*Parametros!$C$13)/SUM(Parametros!$C$10:$C$13)</f>
        <v>0.864382462618219</v>
      </c>
      <c r="N11" s="22" t="n">
        <f aca="false">N10+(Parametros!$D$10*Forecast!D9*(1+(Parametros!$C$4+Parametros!$C$6)*Forecast!$C9)-Parametros!$E$10*Forecast!E9)/100</f>
        <v>1.08445469486447</v>
      </c>
      <c r="O11" s="22" t="n">
        <f aca="false">O10+(Parametros!$D$11*Forecast!F9*(1+(Parametros!$C$4+Parametros!$C$6)*Forecast!$C9)-Parametros!$E$11*Forecast!G9)/100</f>
        <v>0.918970621611994</v>
      </c>
      <c r="P11" s="22" t="n">
        <f aca="false">P10+(Parametros!$D$12*Forecast!H9*(1+(Parametros!$C$4+Parametros!$C$6)*Forecast!$C9)-Parametros!$E$12*Forecast!I9)/100</f>
        <v>0.732054115074952</v>
      </c>
      <c r="Q11" s="22" t="n">
        <f aca="false">Q10+(Parametros!$D$13*Forecast!J9*(1+(Parametros!$C$4+Parametros!$C$6)*Forecast!$C9)-Parametros!$E$13*Forecast!K9)/100</f>
        <v>0.953844715439829</v>
      </c>
      <c r="R11" s="22" t="n">
        <f aca="false">R10+(Parametros!$D$14*Forecast!L9*(1+(Parametros!$C$4+Parametros!$C$6)*Forecast!$C9)-Parametros!$E$14*Forecast!M9)/100</f>
        <v>0.928817394645079</v>
      </c>
    </row>
    <row r="12" customFormat="false" ht="15" hidden="false" customHeight="false" outlineLevel="0" collapsed="false">
      <c r="A12" s="8" t="n">
        <f aca="false">Forecast!A10</f>
        <v>2025</v>
      </c>
      <c r="B12" s="8" t="n">
        <f aca="false">Forecast!B10</f>
        <v>49</v>
      </c>
      <c r="C12" s="22" t="n">
        <f aca="false">C11+(Parametros!$D$10*Forecast!D10*(1+Parametros!$C$4*Forecast!$C10)-Parametros!$E$10*Forecast!E10)/100</f>
        <v>1.0090663558099</v>
      </c>
      <c r="D12" s="22" t="n">
        <f aca="false">D11+(Parametros!$D$11*Forecast!F10*(1+Parametros!$C$4*Forecast!$C10)-Parametros!$E$11*Forecast!G10)/100</f>
        <v>0.847258920610384</v>
      </c>
      <c r="E12" s="22" t="n">
        <f aca="false">E11+(Parametros!$D$12*Forecast!H10*(1+Parametros!$C$4*Forecast!$C10)-Parametros!$E$12*Forecast!I10)/100</f>
        <v>0.654075534278478</v>
      </c>
      <c r="F12" s="22" t="n">
        <f aca="false">F11+(Parametros!$D$13*Forecast!J10*(1+Parametros!$C$4*Forecast!$C10)-Parametros!$E$13*Forecast!K10)/100</f>
        <v>0.859034938251303</v>
      </c>
      <c r="G12" s="22" t="n">
        <f aca="false">G11+(Parametros!$D$14*Forecast!L10*(1+Parametros!$C$4*Forecast!$C10)-Parametros!$E$14*Forecast!M10)/100</f>
        <v>0.883711694127573</v>
      </c>
      <c r="H12" s="23" t="n">
        <f aca="false">MAX(0,C12-1)*Parametros!$C$10</f>
        <v>43.5185078874998</v>
      </c>
      <c r="I12" s="23" t="n">
        <f aca="false">MAX(0,D12-1)*Parametros!$C$11</f>
        <v>0</v>
      </c>
      <c r="J12" s="23" t="n">
        <f aca="false">MAX(0,E12-1)*Parametros!$C$12</f>
        <v>0</v>
      </c>
      <c r="K12" s="23" t="n">
        <f aca="false">MAX(0,F12-1)*Parametros!$C$13</f>
        <v>0</v>
      </c>
      <c r="L12" s="23" t="n">
        <f aca="false">MAX(0,G12-1)*Parametros!$C$14</f>
        <v>0</v>
      </c>
      <c r="M12" s="22" t="n">
        <f aca="false">(C12*Parametros!$C$10+D12*Parametros!$C$11+E12*Parametros!$C$12+F12*Parametros!$C$13)/SUM(Parametros!$C$10:$C$13)</f>
        <v>0.904438006209074</v>
      </c>
      <c r="N12" s="22" t="n">
        <f aca="false">N11+(Parametros!$D$10*Forecast!D10*(1+(Parametros!$C$4+Parametros!$C$6)*Forecast!$C10)-Parametros!$E$10*Forecast!E10)/100</f>
        <v>1.16264848277269</v>
      </c>
      <c r="O12" s="22" t="n">
        <f aca="false">O11+(Parametros!$D$11*Forecast!F10*(1+(Parametros!$C$4+Parametros!$C$6)*Forecast!$C10)-Parametros!$E$11*Forecast!G10)/100</f>
        <v>0.997564863763675</v>
      </c>
      <c r="P12" s="22" t="n">
        <f aca="false">P11+(Parametros!$D$12*Forecast!H10*(1+(Parametros!$C$4+Parametros!$C$6)*Forecast!$C10)-Parametros!$E$12*Forecast!I10)/100</f>
        <v>0.788355742004708</v>
      </c>
      <c r="Q12" s="22" t="n">
        <f aca="false">Q11+(Parametros!$D$13*Forecast!J10*(1+(Parametros!$C$4+Parametros!$C$6)*Forecast!$C10)-Parametros!$E$13*Forecast!K10)/100</f>
        <v>0.955669003350276</v>
      </c>
      <c r="R12" s="22" t="n">
        <f aca="false">R11+(Parametros!$D$14*Forecast!L10*(1+(Parametros!$C$4+Parametros!$C$6)*Forecast!$C10)-Parametros!$E$14*Forecast!M10)/100</f>
        <v>1.01663390275932</v>
      </c>
    </row>
    <row r="13" customFormat="false" ht="15" hidden="false" customHeight="false" outlineLevel="0" collapsed="false">
      <c r="A13" s="8" t="n">
        <f aca="false">Forecast!A11</f>
        <v>2025</v>
      </c>
      <c r="B13" s="8" t="n">
        <f aca="false">Forecast!B11</f>
        <v>50</v>
      </c>
      <c r="C13" s="22" t="n">
        <f aca="false">C12+(Parametros!$D$10*Forecast!D11*(1+Parametros!$C$4*Forecast!$C11)-Parametros!$E$10*Forecast!E11)/100</f>
        <v>1.06838958034568</v>
      </c>
      <c r="D13" s="22" t="n">
        <f aca="false">D12+(Parametros!$D$11*Forecast!F11*(1+Parametros!$C$4*Forecast!$C11)-Parametros!$E$11*Forecast!G11)/100</f>
        <v>0.877318643856747</v>
      </c>
      <c r="E13" s="22" t="n">
        <f aca="false">E12+(Parametros!$D$12*Forecast!H11*(1+Parametros!$C$4*Forecast!$C11)-Parametros!$E$12*Forecast!I11)/100</f>
        <v>0.678821704876009</v>
      </c>
      <c r="F13" s="22" t="n">
        <f aca="false">F12+(Parametros!$D$13*Forecast!J11*(1+Parametros!$C$4*Forecast!$C11)-Parametros!$E$13*Forecast!K11)/100</f>
        <v>0.844192351232074</v>
      </c>
      <c r="G13" s="22" t="n">
        <f aca="false">G12+(Parametros!$D$14*Forecast!L11*(1+Parametros!$C$4*Forecast!$C11)-Parametros!$E$14*Forecast!M11)/100</f>
        <v>0.942722494232402</v>
      </c>
      <c r="H13" s="23" t="n">
        <f aca="false">MAX(0,C13-1)*Parametros!$C$10</f>
        <v>328.26998565925</v>
      </c>
      <c r="I13" s="23" t="n">
        <f aca="false">MAX(0,D13-1)*Parametros!$C$11</f>
        <v>0</v>
      </c>
      <c r="J13" s="23" t="n">
        <f aca="false">MAX(0,E13-1)*Parametros!$C$12</f>
        <v>0</v>
      </c>
      <c r="K13" s="23" t="n">
        <f aca="false">MAX(0,F13-1)*Parametros!$C$13</f>
        <v>0</v>
      </c>
      <c r="L13" s="23" t="n">
        <f aca="false">MAX(0,G13-1)*Parametros!$C$14</f>
        <v>0</v>
      </c>
      <c r="M13" s="22" t="n">
        <f aca="false">(C13*Parametros!$C$10+D13*Parametros!$C$11+E13*Parametros!$C$12+F13*Parametros!$C$13)/SUM(Parametros!$C$10:$C$13)</f>
        <v>0.941466542334104</v>
      </c>
      <c r="N13" s="22" t="n">
        <f aca="false">N12+(Parametros!$D$10*Forecast!D11*(1+(Parametros!$C$4+Parametros!$C$6)*Forecast!$C11)-Parametros!$E$10*Forecast!E11)/100</f>
        <v>1.24813162647679</v>
      </c>
      <c r="O13" s="22" t="n">
        <f aca="false">O12+(Parametros!$D$11*Forecast!F11*(1+(Parametros!$C$4+Parametros!$C$6)*Forecast!$C11)-Parametros!$E$11*Forecast!G11)/100</f>
        <v>1.05176337091266</v>
      </c>
      <c r="P13" s="22" t="n">
        <f aca="false">P12+(Parametros!$D$12*Forecast!H11*(1+(Parametros!$C$4+Parametros!$C$6)*Forecast!$C11)-Parametros!$E$12*Forecast!I11)/100</f>
        <v>0.83798298524719</v>
      </c>
      <c r="Q13" s="22" t="n">
        <f aca="false">Q12+(Parametros!$D$13*Forecast!J11*(1+(Parametros!$C$4+Parametros!$C$6)*Forecast!$C11)-Parametros!$E$13*Forecast!K11)/100</f>
        <v>0.951608612307807</v>
      </c>
      <c r="R13" s="22" t="n">
        <f aca="false">R12+(Parametros!$D$14*Forecast!L11*(1+(Parametros!$C$4+Parametros!$C$6)*Forecast!$C11)-Parametros!$E$14*Forecast!M11)/100</f>
        <v>1.09784881288195</v>
      </c>
    </row>
    <row r="14" customFormat="false" ht="15" hidden="false" customHeight="false" outlineLevel="0" collapsed="false">
      <c r="A14" s="8" t="n">
        <f aca="false">Forecast!A12</f>
        <v>2025</v>
      </c>
      <c r="B14" s="8" t="n">
        <f aca="false">Forecast!B12</f>
        <v>51</v>
      </c>
      <c r="C14" s="22" t="n">
        <f aca="false">C13+(Parametros!$D$10*Forecast!D12*(1+Parametros!$C$4*Forecast!$C12)-Parametros!$E$10*Forecast!E12)/100</f>
        <v>1.09861971262647</v>
      </c>
      <c r="D14" s="22" t="n">
        <f aca="false">D13+(Parametros!$D$11*Forecast!F12*(1+Parametros!$C$4*Forecast!$C12)-Parametros!$E$11*Forecast!G12)/100</f>
        <v>0.873623687850075</v>
      </c>
      <c r="E14" s="22" t="n">
        <f aca="false">E13+(Parametros!$D$12*Forecast!H12*(1+Parametros!$C$4*Forecast!$C12)-Parametros!$E$12*Forecast!I12)/100</f>
        <v>0.687688674922802</v>
      </c>
      <c r="F14" s="22" t="n">
        <f aca="false">F13+(Parametros!$D$13*Forecast!J12*(1+Parametros!$C$4*Forecast!$C12)-Parametros!$E$13*Forecast!K12)/100</f>
        <v>0.806541159709131</v>
      </c>
      <c r="G14" s="22" t="n">
        <f aca="false">G13+(Parametros!$D$14*Forecast!L12*(1+Parametros!$C$4*Forecast!$C12)-Parametros!$E$14*Forecast!M12)/100</f>
        <v>0.944197283866006</v>
      </c>
      <c r="H14" s="23" t="n">
        <f aca="false">MAX(0,C14-1)*Parametros!$C$10</f>
        <v>473.374620607067</v>
      </c>
      <c r="I14" s="23" t="n">
        <f aca="false">MAX(0,D14-1)*Parametros!$C$11</f>
        <v>0</v>
      </c>
      <c r="J14" s="23" t="n">
        <f aca="false">MAX(0,E14-1)*Parametros!$C$12</f>
        <v>0</v>
      </c>
      <c r="K14" s="23" t="n">
        <f aca="false">MAX(0,F14-1)*Parametros!$C$13</f>
        <v>0</v>
      </c>
      <c r="L14" s="23" t="n">
        <f aca="false">MAX(0,G14-1)*Parametros!$C$14</f>
        <v>0</v>
      </c>
      <c r="M14" s="22" t="n">
        <f aca="false">(C14*Parametros!$C$10+D14*Parametros!$C$11+E14*Parametros!$C$12+F14*Parametros!$C$13)/SUM(Parametros!$C$10:$C$13)</f>
        <v>0.951270173103742</v>
      </c>
      <c r="N14" s="22" t="n">
        <f aca="false">N13+(Parametros!$D$10*Forecast!D12*(1+(Parametros!$C$4+Parametros!$C$6)*Forecast!$C12)-Parametros!$E$10*Forecast!E12)/100</f>
        <v>1.30345154004479</v>
      </c>
      <c r="O14" s="22" t="n">
        <f aca="false">O13+(Parametros!$D$11*Forecast!F12*(1+(Parametros!$C$4+Parametros!$C$6)*Forecast!$C12)-Parametros!$E$11*Forecast!G12)/100</f>
        <v>1.06781743267001</v>
      </c>
      <c r="P14" s="22" t="n">
        <f aca="false">P13+(Parametros!$D$12*Forecast!H12*(1+(Parametros!$C$4+Parametros!$C$6)*Forecast!$C12)-Parametros!$E$12*Forecast!I12)/100</f>
        <v>0.869005747631463</v>
      </c>
      <c r="Q14" s="22" t="n">
        <f aca="false">Q13+(Parametros!$D$13*Forecast!J12*(1+(Parametros!$C$4+Parametros!$C$6)*Forecast!$C12)-Parametros!$E$13*Forecast!K12)/100</f>
        <v>0.922085408394068</v>
      </c>
      <c r="R14" s="22" t="n">
        <f aca="false">R13+(Parametros!$D$14*Forecast!L12*(1+(Parametros!$C$4+Parametros!$C$6)*Forecast!$C12)-Parametros!$E$14*Forecast!M12)/100</f>
        <v>1.11637560809523</v>
      </c>
    </row>
    <row r="15" customFormat="false" ht="15" hidden="false" customHeight="false" outlineLevel="0" collapsed="false">
      <c r="A15" s="8" t="n">
        <f aca="false">Forecast!A13</f>
        <v>2025</v>
      </c>
      <c r="B15" s="8" t="n">
        <f aca="false">Forecast!B13</f>
        <v>52</v>
      </c>
      <c r="C15" s="22" t="n">
        <f aca="false">C14+(Parametros!$D$10*Forecast!D13*(1+Parametros!$C$4*Forecast!$C13)-Parametros!$E$10*Forecast!E13)/100</f>
        <v>1.07741581939914</v>
      </c>
      <c r="D15" s="22" t="n">
        <f aca="false">D14+(Parametros!$D$11*Forecast!F13*(1+Parametros!$C$4*Forecast!$C13)-Parametros!$E$11*Forecast!G13)/100</f>
        <v>0.853687659245189</v>
      </c>
      <c r="E15" s="22" t="n">
        <f aca="false">E14+(Parametros!$D$12*Forecast!H13*(1+Parametros!$C$4*Forecast!$C13)-Parametros!$E$12*Forecast!I13)/100</f>
        <v>0.682859087723186</v>
      </c>
      <c r="F15" s="22" t="n">
        <f aca="false">F14+(Parametros!$D$13*Forecast!J13*(1+Parametros!$C$4*Forecast!$C13)-Parametros!$E$13*Forecast!K13)/100</f>
        <v>0.753867648169311</v>
      </c>
      <c r="G15" s="22" t="n">
        <f aca="false">G14+(Parametros!$D$14*Forecast!L13*(1+Parametros!$C$4*Forecast!$C13)-Parametros!$E$14*Forecast!M13)/100</f>
        <v>0.906118259571682</v>
      </c>
      <c r="H15" s="23" t="n">
        <f aca="false">MAX(0,C15-1)*Parametros!$C$10</f>
        <v>371.595933115858</v>
      </c>
      <c r="I15" s="23" t="n">
        <f aca="false">MAX(0,D15-1)*Parametros!$C$11</f>
        <v>0</v>
      </c>
      <c r="J15" s="23" t="n">
        <f aca="false">MAX(0,E15-1)*Parametros!$C$12</f>
        <v>0</v>
      </c>
      <c r="K15" s="23" t="n">
        <f aca="false">MAX(0,F15-1)*Parametros!$C$13</f>
        <v>0</v>
      </c>
      <c r="L15" s="23" t="n">
        <f aca="false">MAX(0,G15-1)*Parametros!$C$14</f>
        <v>0</v>
      </c>
      <c r="M15" s="22" t="n">
        <f aca="false">(C15*Parametros!$C$10+D15*Parametros!$C$11+E15*Parametros!$C$12+F15*Parametros!$C$13)/SUM(Parametros!$C$10:$C$13)</f>
        <v>0.927591660207981</v>
      </c>
      <c r="N15" s="22" t="n">
        <f aca="false">N14+(Parametros!$D$10*Forecast!D13*(1+(Parametros!$C$4+Parametros!$C$6)*Forecast!$C13)-Parametros!$E$10*Forecast!E13)/100</f>
        <v>1.28224764681746</v>
      </c>
      <c r="O15" s="22" t="n">
        <f aca="false">O14+(Parametros!$D$11*Forecast!F13*(1+(Parametros!$C$4+Parametros!$C$6)*Forecast!$C13)-Parametros!$E$11*Forecast!G13)/100</f>
        <v>1.04788140406513</v>
      </c>
      <c r="P15" s="22" t="n">
        <f aca="false">P14+(Parametros!$D$12*Forecast!H13*(1+(Parametros!$C$4+Parametros!$C$6)*Forecast!$C13)-Parametros!$E$12*Forecast!I13)/100</f>
        <v>0.864176160431847</v>
      </c>
      <c r="Q15" s="22" t="n">
        <f aca="false">Q14+(Parametros!$D$13*Forecast!J13*(1+(Parametros!$C$4+Parametros!$C$6)*Forecast!$C13)-Parametros!$E$13*Forecast!K13)/100</f>
        <v>0.869411896854248</v>
      </c>
      <c r="R15" s="22" t="n">
        <f aca="false">R14+(Parametros!$D$14*Forecast!L13*(1+(Parametros!$C$4+Parametros!$C$6)*Forecast!$C13)-Parametros!$E$14*Forecast!M13)/100</f>
        <v>1.0782965838009</v>
      </c>
    </row>
    <row r="16" customFormat="false" ht="15" hidden="false" customHeight="false" outlineLevel="0" collapsed="false">
      <c r="A16" s="8" t="n">
        <f aca="false">Forecast!A14</f>
        <v>2026</v>
      </c>
      <c r="B16" s="8" t="n">
        <f aca="false">Forecast!B14</f>
        <v>1</v>
      </c>
      <c r="C16" s="22" t="n">
        <f aca="false">C15+(Parametros!$D$10*Forecast!D14*(1+Parametros!$C$4*Forecast!$C14)-Parametros!$E$10*Forecast!E14)/100</f>
        <v>1.02280124616986</v>
      </c>
      <c r="D16" s="22" t="n">
        <f aca="false">D15+(Parametros!$D$11*Forecast!F14*(1+Parametros!$C$4*Forecast!$C14)-Parametros!$E$11*Forecast!G14)/100</f>
        <v>0.806946184040538</v>
      </c>
      <c r="E16" s="22" t="n">
        <f aca="false">E15+(Parametros!$D$12*Forecast!H14*(1+Parametros!$C$4*Forecast!$C14)-Parametros!$E$12*Forecast!I14)/100</f>
        <v>0.652739179686808</v>
      </c>
      <c r="F16" s="22" t="n">
        <f aca="false">F15+(Parametros!$D$13*Forecast!J14*(1+Parametros!$C$4*Forecast!$C14)-Parametros!$E$13*Forecast!K14)/100</f>
        <v>0.700521037066568</v>
      </c>
      <c r="G16" s="22" t="n">
        <f aca="false">G15+(Parametros!$D$14*Forecast!L14*(1+Parametros!$C$4*Forecast!$C14)-Parametros!$E$14*Forecast!M14)/100</f>
        <v>0.853319459985778</v>
      </c>
      <c r="H16" s="23" t="n">
        <f aca="false">MAX(0,C16-1)*Parametros!$C$10</f>
        <v>109.445981615329</v>
      </c>
      <c r="I16" s="23" t="n">
        <f aca="false">MAX(0,D16-1)*Parametros!$C$11</f>
        <v>0</v>
      </c>
      <c r="J16" s="23" t="n">
        <f aca="false">MAX(0,E16-1)*Parametros!$C$12</f>
        <v>0</v>
      </c>
      <c r="K16" s="23" t="n">
        <f aca="false">MAX(0,F16-1)*Parametros!$C$13</f>
        <v>0</v>
      </c>
      <c r="L16" s="23" t="n">
        <f aca="false">MAX(0,G16-1)*Parametros!$C$14</f>
        <v>0</v>
      </c>
      <c r="M16" s="22" t="n">
        <f aca="false">(C16*Parametros!$C$10+D16*Parametros!$C$11+E16*Parametros!$C$12+F16*Parametros!$C$13)/SUM(Parametros!$C$10:$C$13)</f>
        <v>0.878103812682637</v>
      </c>
      <c r="N16" s="22" t="n">
        <f aca="false">N15+(Parametros!$D$10*Forecast!D14*(1+(Parametros!$C$4+Parametros!$C$6)*Forecast!$C14)-Parametros!$E$10*Forecast!E14)/100</f>
        <v>1.22763307358818</v>
      </c>
      <c r="O16" s="22" t="n">
        <f aca="false">O15+(Parametros!$D$11*Forecast!F14*(1+(Parametros!$C$4+Parametros!$C$6)*Forecast!$C14)-Parametros!$E$11*Forecast!G14)/100</f>
        <v>1.00113992886048</v>
      </c>
      <c r="P16" s="22" t="n">
        <f aca="false">P15+(Parametros!$D$12*Forecast!H14*(1+(Parametros!$C$4+Parametros!$C$6)*Forecast!$C14)-Parametros!$E$12*Forecast!I14)/100</f>
        <v>0.834056252395469</v>
      </c>
      <c r="Q16" s="22" t="n">
        <f aca="false">Q15+(Parametros!$D$13*Forecast!J14*(1+(Parametros!$C$4+Parametros!$C$6)*Forecast!$C14)-Parametros!$E$13*Forecast!K14)/100</f>
        <v>0.816065285751504</v>
      </c>
      <c r="R16" s="22" t="n">
        <f aca="false">R15+(Parametros!$D$14*Forecast!L14*(1+(Parametros!$C$4+Parametros!$C$6)*Forecast!$C14)-Parametros!$E$14*Forecast!M14)/100</f>
        <v>1.025497784215</v>
      </c>
    </row>
    <row r="17" customFormat="false" ht="15" hidden="false" customHeight="false" outlineLevel="0" collapsed="false">
      <c r="A17" s="8" t="n">
        <f aca="false">Forecast!A15</f>
        <v>2026</v>
      </c>
      <c r="B17" s="8" t="n">
        <f aca="false">Forecast!B15</f>
        <v>2</v>
      </c>
      <c r="C17" s="22" t="n">
        <f aca="false">C16+(Parametros!$D$10*Forecast!D15*(1+Parametros!$C$4*Forecast!$C15)-Parametros!$E$10*Forecast!E15)/100</f>
        <v>0.937107447367334</v>
      </c>
      <c r="D17" s="22" t="n">
        <f aca="false">D16+(Parametros!$D$11*Forecast!F15*(1+Parametros!$C$4*Forecast!$C15)-Parametros!$E$11*Forecast!G15)/100</f>
        <v>0.752330134506409</v>
      </c>
      <c r="E17" s="22" t="n">
        <f aca="false">E16+(Parametros!$D$12*Forecast!H15*(1+Parametros!$C$4*Forecast!$C15)-Parametros!$E$12*Forecast!I15)/100</f>
        <v>0.605532655467818</v>
      </c>
      <c r="F17" s="22" t="n">
        <f aca="false">F16+(Parametros!$D$13*Forecast!J15*(1+Parametros!$C$4*Forecast!$C15)-Parametros!$E$13*Forecast!K15)/100</f>
        <v>0.655847488069085</v>
      </c>
      <c r="G17" s="22" t="n">
        <f aca="false">G16+(Parametros!$D$14*Forecast!L15*(1+Parametros!$C$4*Forecast!$C15)-Parametros!$E$14*Forecast!M15)/100</f>
        <v>0.775281053922654</v>
      </c>
      <c r="H17" s="23" t="n">
        <f aca="false">MAX(0,C17-1)*Parametros!$C$10</f>
        <v>0</v>
      </c>
      <c r="I17" s="23" t="n">
        <f aca="false">MAX(0,D17-1)*Parametros!$C$11</f>
        <v>0</v>
      </c>
      <c r="J17" s="23" t="n">
        <f aca="false">MAX(0,E17-1)*Parametros!$C$12</f>
        <v>0</v>
      </c>
      <c r="K17" s="23" t="n">
        <f aca="false">MAX(0,F17-1)*Parametros!$C$13</f>
        <v>0</v>
      </c>
      <c r="L17" s="23" t="n">
        <f aca="false">MAX(0,G17-1)*Parametros!$C$14</f>
        <v>0</v>
      </c>
      <c r="M17" s="22" t="n">
        <f aca="false">(C17*Parametros!$C$10+D17*Parametros!$C$11+E17*Parametros!$C$12+F17*Parametros!$C$13)/SUM(Parametros!$C$10:$C$13)</f>
        <v>0.810369124961807</v>
      </c>
      <c r="N17" s="22" t="n">
        <f aca="false">N16+(Parametros!$D$10*Forecast!D15*(1+(Parametros!$C$4+Parametros!$C$6)*Forecast!$C15)-Parametros!$E$10*Forecast!E15)/100</f>
        <v>1.14193927478565</v>
      </c>
      <c r="O17" s="22" t="n">
        <f aca="false">O16+(Parametros!$D$11*Forecast!F15*(1+(Parametros!$C$4+Parametros!$C$6)*Forecast!$C15)-Parametros!$E$11*Forecast!G15)/100</f>
        <v>0.946523879326348</v>
      </c>
      <c r="P17" s="22" t="n">
        <f aca="false">P16+(Parametros!$D$12*Forecast!H15*(1+(Parametros!$C$4+Parametros!$C$6)*Forecast!$C15)-Parametros!$E$12*Forecast!I15)/100</f>
        <v>0.786849728176479</v>
      </c>
      <c r="Q17" s="22" t="n">
        <f aca="false">Q16+(Parametros!$D$13*Forecast!J15*(1+(Parametros!$C$4+Parametros!$C$6)*Forecast!$C15)-Parametros!$E$13*Forecast!K15)/100</f>
        <v>0.771391736754022</v>
      </c>
      <c r="R17" s="22" t="n">
        <f aca="false">R16+(Parametros!$D$14*Forecast!L15*(1+(Parametros!$C$4+Parametros!$C$6)*Forecast!$C15)-Parametros!$E$14*Forecast!M15)/100</f>
        <v>0.947459378151877</v>
      </c>
    </row>
    <row r="18" customFormat="false" ht="15" hidden="false" customHeight="false" outlineLevel="0" collapsed="false">
      <c r="A18" s="8" t="n">
        <f aca="false">Forecast!A16</f>
        <v>2026</v>
      </c>
      <c r="B18" s="8" t="n">
        <f aca="false">Forecast!B16</f>
        <v>3</v>
      </c>
      <c r="C18" s="22" t="n">
        <f aca="false">C17+(Parametros!$D$10*Forecast!D16*(1+Parametros!$C$4*Forecast!$C16)-Parametros!$E$10*Forecast!E16)/100</f>
        <v>0.857385464175058</v>
      </c>
      <c r="D18" s="22" t="n">
        <f aca="false">D17+(Parametros!$D$11*Forecast!F16*(1+Parametros!$C$4*Forecast!$C16)-Parametros!$E$11*Forecast!G16)/100</f>
        <v>0.693091872398998</v>
      </c>
      <c r="E18" s="22" t="n">
        <f aca="false">E17+(Parametros!$D$12*Forecast!H16*(1+Parametros!$C$4*Forecast!$C16)-Parametros!$E$12*Forecast!I16)/100</f>
        <v>0.552950431804955</v>
      </c>
      <c r="F18" s="22" t="n">
        <f aca="false">F17+(Parametros!$D$13*Forecast!J16*(1+Parametros!$C$4*Forecast!$C16)-Parametros!$E$13*Forecast!K16)/100</f>
        <v>0.626876880701092</v>
      </c>
      <c r="G18" s="22" t="n">
        <f aca="false">G17+(Parametros!$D$14*Forecast!L16*(1+Parametros!$C$4*Forecast!$C16)-Parametros!$E$14*Forecast!M16)/100</f>
        <v>0.694077876933366</v>
      </c>
      <c r="H18" s="23" t="n">
        <f aca="false">MAX(0,C18-1)*Parametros!$C$10</f>
        <v>0</v>
      </c>
      <c r="I18" s="23" t="n">
        <f aca="false">MAX(0,D18-1)*Parametros!$C$11</f>
        <v>0</v>
      </c>
      <c r="J18" s="23" t="n">
        <f aca="false">MAX(0,E18-1)*Parametros!$C$12</f>
        <v>0</v>
      </c>
      <c r="K18" s="23" t="n">
        <f aca="false">MAX(0,F18-1)*Parametros!$C$13</f>
        <v>0</v>
      </c>
      <c r="L18" s="23" t="n">
        <f aca="false">MAX(0,G18-1)*Parametros!$C$14</f>
        <v>0</v>
      </c>
      <c r="M18" s="22" t="n">
        <f aca="false">(C18*Parametros!$C$10+D18*Parametros!$C$11+E18*Parametros!$C$12+F18*Parametros!$C$13)/SUM(Parametros!$C$10:$C$13)</f>
        <v>0.746471122946995</v>
      </c>
      <c r="N18" s="22" t="n">
        <f aca="false">N17+(Parametros!$D$10*Forecast!D16*(1+(Parametros!$C$4+Parametros!$C$6)*Forecast!$C16)-Parametros!$E$10*Forecast!E16)/100</f>
        <v>1.06221729159338</v>
      </c>
      <c r="O18" s="22" t="n">
        <f aca="false">O17+(Parametros!$D$11*Forecast!F16*(1+(Parametros!$C$4+Parametros!$C$6)*Forecast!$C16)-Parametros!$E$11*Forecast!G16)/100</f>
        <v>0.887285617218937</v>
      </c>
      <c r="P18" s="22" t="n">
        <f aca="false">P17+(Parametros!$D$12*Forecast!H16*(1+(Parametros!$C$4+Parametros!$C$6)*Forecast!$C16)-Parametros!$E$12*Forecast!I16)/100</f>
        <v>0.734267504513616</v>
      </c>
      <c r="Q18" s="22" t="n">
        <f aca="false">Q17+(Parametros!$D$13*Forecast!J16*(1+(Parametros!$C$4+Parametros!$C$6)*Forecast!$C16)-Parametros!$E$13*Forecast!K16)/100</f>
        <v>0.742421129386028</v>
      </c>
      <c r="R18" s="22" t="n">
        <f aca="false">R17+(Parametros!$D$14*Forecast!L16*(1+(Parametros!$C$4+Parametros!$C$6)*Forecast!$C16)-Parametros!$E$14*Forecast!M16)/100</f>
        <v>0.866256201162588</v>
      </c>
    </row>
    <row r="19" customFormat="false" ht="15" hidden="false" customHeight="false" outlineLevel="0" collapsed="false">
      <c r="A19" s="8" t="n">
        <f aca="false">Forecast!A17</f>
        <v>2026</v>
      </c>
      <c r="B19" s="8" t="n">
        <f aca="false">Forecast!B17</f>
        <v>4</v>
      </c>
      <c r="C19" s="22" t="n">
        <f aca="false">C18+(Parametros!$D$10*Forecast!D17*(1+Parametros!$C$4*Forecast!$C17)-Parametros!$E$10*Forecast!E17)/100</f>
        <v>0.778109151307478</v>
      </c>
      <c r="D19" s="22" t="n">
        <f aca="false">D18+(Parametros!$D$11*Forecast!F17*(1+Parametros!$C$4*Forecast!$C17)-Parametros!$E$11*Forecast!G17)/100</f>
        <v>0.63888647583985</v>
      </c>
      <c r="E19" s="22" t="n">
        <f aca="false">E18+(Parametros!$D$12*Forecast!H17*(1+Parametros!$C$4*Forecast!$C17)-Parametros!$E$12*Forecast!I17)/100</f>
        <v>0.502270579230662</v>
      </c>
      <c r="F19" s="22" t="n">
        <f aca="false">F18+(Parametros!$D$13*Forecast!J17*(1+Parametros!$C$4*Forecast!$C17)-Parametros!$E$13*Forecast!K17)/100</f>
        <v>0.599953387118457</v>
      </c>
      <c r="G19" s="22" t="n">
        <f aca="false">G18+(Parametros!$D$14*Forecast!L17*(1+Parametros!$C$4*Forecast!$C17)-Parametros!$E$14*Forecast!M17)/100</f>
        <v>0.611677646286865</v>
      </c>
      <c r="H19" s="23" t="n">
        <f aca="false">MAX(0,C19-1)*Parametros!$C$10</f>
        <v>0</v>
      </c>
      <c r="I19" s="23" t="n">
        <f aca="false">MAX(0,D19-1)*Parametros!$C$11</f>
        <v>0</v>
      </c>
      <c r="J19" s="23" t="n">
        <f aca="false">MAX(0,E19-1)*Parametros!$C$12</f>
        <v>0</v>
      </c>
      <c r="K19" s="23" t="n">
        <f aca="false">MAX(0,F19-1)*Parametros!$C$13</f>
        <v>0</v>
      </c>
      <c r="L19" s="23" t="n">
        <f aca="false">MAX(0,G19-1)*Parametros!$C$14</f>
        <v>0</v>
      </c>
      <c r="M19" s="22" t="n">
        <f aca="false">(C19*Parametros!$C$10+D19*Parametros!$C$11+E19*Parametros!$C$12+F19*Parametros!$C$13)/SUM(Parametros!$C$10:$C$13)</f>
        <v>0.684388427794648</v>
      </c>
      <c r="N19" s="22" t="n">
        <f aca="false">N18+(Parametros!$D$10*Forecast!D17*(1+(Parametros!$C$4+Parametros!$C$6)*Forecast!$C17)-Parametros!$E$10*Forecast!E17)/100</f>
        <v>0.982940978725797</v>
      </c>
      <c r="O19" s="22" t="n">
        <f aca="false">O18+(Parametros!$D$11*Forecast!F17*(1+(Parametros!$C$4+Parametros!$C$6)*Forecast!$C17)-Parametros!$E$11*Forecast!G17)/100</f>
        <v>0.833080220659789</v>
      </c>
      <c r="P19" s="22" t="n">
        <f aca="false">P18+(Parametros!$D$12*Forecast!H17*(1+(Parametros!$C$4+Parametros!$C$6)*Forecast!$C17)-Parametros!$E$12*Forecast!I17)/100</f>
        <v>0.683587651939323</v>
      </c>
      <c r="Q19" s="22" t="n">
        <f aca="false">Q18+(Parametros!$D$13*Forecast!J17*(1+(Parametros!$C$4+Parametros!$C$6)*Forecast!$C17)-Parametros!$E$13*Forecast!K17)/100</f>
        <v>0.715497635803394</v>
      </c>
      <c r="R19" s="22" t="n">
        <f aca="false">R18+(Parametros!$D$14*Forecast!L17*(1+(Parametros!$C$4+Parametros!$C$6)*Forecast!$C17)-Parametros!$E$14*Forecast!M17)/100</f>
        <v>0.783855970516088</v>
      </c>
    </row>
    <row r="20" customFormat="false" ht="15" hidden="false" customHeight="false" outlineLevel="0" collapsed="false">
      <c r="A20" s="8" t="n">
        <f aca="false">Forecast!A18</f>
        <v>2026</v>
      </c>
      <c r="B20" s="8" t="n">
        <f aca="false">Forecast!B18</f>
        <v>5</v>
      </c>
      <c r="C20" s="22" t="n">
        <f aca="false">C19+(Parametros!$D$10*Forecast!D18*(1+Parametros!$C$4*Forecast!$C18)-Parametros!$E$10*Forecast!E18)/100</f>
        <v>0.722023673540037</v>
      </c>
      <c r="D20" s="22" t="n">
        <f aca="false">D19+(Parametros!$D$11*Forecast!F18*(1+Parametros!$C$4*Forecast!$C18)-Parametros!$E$11*Forecast!G18)/100</f>
        <v>0.596709332688802</v>
      </c>
      <c r="E20" s="22" t="n">
        <f aca="false">E19+(Parametros!$D$12*Forecast!H18*(1+Parametros!$C$4*Forecast!$C18)-Parametros!$E$12*Forecast!I18)/100</f>
        <v>0.468443828679742</v>
      </c>
      <c r="F20" s="22" t="n">
        <f aca="false">F19+(Parametros!$D$13*Forecast!J18*(1+Parametros!$C$4*Forecast!$C18)-Parametros!$E$13*Forecast!K18)/100</f>
        <v>0.598974914208788</v>
      </c>
      <c r="G20" s="22" t="n">
        <f aca="false">G19+(Parametros!$D$14*Forecast!L18*(1+Parametros!$C$4*Forecast!$C18)-Parametros!$E$14*Forecast!M18)/100</f>
        <v>0.552253932456796</v>
      </c>
      <c r="H20" s="23" t="n">
        <f aca="false">MAX(0,C20-1)*Parametros!$C$10</f>
        <v>0</v>
      </c>
      <c r="I20" s="23" t="n">
        <f aca="false">MAX(0,D20-1)*Parametros!$C$11</f>
        <v>0</v>
      </c>
      <c r="J20" s="23" t="n">
        <f aca="false">MAX(0,E20-1)*Parametros!$C$12</f>
        <v>0</v>
      </c>
      <c r="K20" s="23" t="n">
        <f aca="false">MAX(0,F20-1)*Parametros!$C$13</f>
        <v>0</v>
      </c>
      <c r="L20" s="23" t="n">
        <f aca="false">MAX(0,G20-1)*Parametros!$C$14</f>
        <v>0</v>
      </c>
      <c r="M20" s="22" t="n">
        <f aca="false">(C20*Parametros!$C$10+D20*Parametros!$C$11+E20*Parametros!$C$12+F20*Parametros!$C$13)/SUM(Parametros!$C$10:$C$13)</f>
        <v>0.642831654073447</v>
      </c>
      <c r="N20" s="22" t="n">
        <f aca="false">N19+(Parametros!$D$10*Forecast!D18*(1+(Parametros!$C$4+Parametros!$C$6)*Forecast!$C18)-Parametros!$E$10*Forecast!E18)/100</f>
        <v>0.926855500958356</v>
      </c>
      <c r="O20" s="22" t="n">
        <f aca="false">O19+(Parametros!$D$11*Forecast!F18*(1+(Parametros!$C$4+Parametros!$C$6)*Forecast!$C18)-Parametros!$E$11*Forecast!G18)/100</f>
        <v>0.790903077508741</v>
      </c>
      <c r="P20" s="22" t="n">
        <f aca="false">P19+(Parametros!$D$12*Forecast!H18*(1+(Parametros!$C$4+Parametros!$C$6)*Forecast!$C18)-Parametros!$E$12*Forecast!I18)/100</f>
        <v>0.649760901388403</v>
      </c>
      <c r="Q20" s="22" t="n">
        <f aca="false">Q19+(Parametros!$D$13*Forecast!J18*(1+(Parametros!$C$4+Parametros!$C$6)*Forecast!$C18)-Parametros!$E$13*Forecast!K18)/100</f>
        <v>0.714519162893725</v>
      </c>
      <c r="R20" s="22" t="n">
        <f aca="false">R19+(Parametros!$D$14*Forecast!L18*(1+(Parametros!$C$4+Parametros!$C$6)*Forecast!$C18)-Parametros!$E$14*Forecast!M18)/100</f>
        <v>0.724432256686019</v>
      </c>
    </row>
    <row r="21" customFormat="false" ht="15" hidden="false" customHeight="false" outlineLevel="0" collapsed="false">
      <c r="A21" s="8" t="n">
        <f aca="false">Forecast!A19</f>
        <v>2026</v>
      </c>
      <c r="B21" s="8" t="n">
        <f aca="false">Forecast!B19</f>
        <v>6</v>
      </c>
      <c r="C21" s="22" t="n">
        <f aca="false">C20+(Parametros!$D$10*Forecast!D19*(1+Parametros!$C$4*Forecast!$C19)-Parametros!$E$10*Forecast!E19)/100</f>
        <v>0.694732242994831</v>
      </c>
      <c r="D21" s="22" t="n">
        <f aca="false">D20+(Parametros!$D$11*Forecast!F19*(1+Parametros!$C$4*Forecast!$C19)-Parametros!$E$11*Forecast!G19)/100</f>
        <v>0.563588779094861</v>
      </c>
      <c r="E21" s="22" t="n">
        <f aca="false">E20+(Parametros!$D$12*Forecast!H19*(1+Parametros!$C$4*Forecast!$C19)-Parametros!$E$12*Forecast!I19)/100</f>
        <v>0.448687789484237</v>
      </c>
      <c r="F21" s="22" t="n">
        <f aca="false">F20+(Parametros!$D$13*Forecast!J19*(1+Parametros!$C$4*Forecast!$C19)-Parametros!$E$13*Forecast!K19)/100</f>
        <v>0.58217604971019</v>
      </c>
      <c r="G21" s="22" t="n">
        <f aca="false">G20+(Parametros!$D$14*Forecast!L19*(1+Parametros!$C$4*Forecast!$C19)-Parametros!$E$14*Forecast!M19)/100</f>
        <v>0.524270815760811</v>
      </c>
      <c r="H21" s="23" t="n">
        <f aca="false">MAX(0,C21-1)*Parametros!$C$10</f>
        <v>0</v>
      </c>
      <c r="I21" s="23" t="n">
        <f aca="false">MAX(0,D21-1)*Parametros!$C$11</f>
        <v>0</v>
      </c>
      <c r="J21" s="23" t="n">
        <f aca="false">MAX(0,E21-1)*Parametros!$C$12</f>
        <v>0</v>
      </c>
      <c r="K21" s="23" t="n">
        <f aca="false">MAX(0,F21-1)*Parametros!$C$13</f>
        <v>0</v>
      </c>
      <c r="L21" s="23" t="n">
        <f aca="false">MAX(0,G21-1)*Parametros!$C$14</f>
        <v>0</v>
      </c>
      <c r="M21" s="22" t="n">
        <f aca="false">(C21*Parametros!$C$10+D21*Parametros!$C$11+E21*Parametros!$C$12+F21*Parametros!$C$13)/SUM(Parametros!$C$10:$C$13)</f>
        <v>0.617062278689497</v>
      </c>
      <c r="N21" s="22" t="n">
        <f aca="false">N20+(Parametros!$D$10*Forecast!D19*(1+(Parametros!$C$4+Parametros!$C$6)*Forecast!$C19)-Parametros!$E$10*Forecast!E19)/100</f>
        <v>0.89956407041315</v>
      </c>
      <c r="O21" s="22" t="n">
        <f aca="false">O20+(Parametros!$D$11*Forecast!F19*(1+(Parametros!$C$4+Parametros!$C$6)*Forecast!$C19)-Parametros!$E$11*Forecast!G19)/100</f>
        <v>0.7577825239148</v>
      </c>
      <c r="P21" s="22" t="n">
        <f aca="false">P20+(Parametros!$D$12*Forecast!H19*(1+(Parametros!$C$4+Parametros!$C$6)*Forecast!$C19)-Parametros!$E$12*Forecast!I19)/100</f>
        <v>0.630004862192898</v>
      </c>
      <c r="Q21" s="22" t="n">
        <f aca="false">Q20+(Parametros!$D$13*Forecast!J19*(1+(Parametros!$C$4+Parametros!$C$6)*Forecast!$C19)-Parametros!$E$13*Forecast!K19)/100</f>
        <v>0.697720298395126</v>
      </c>
      <c r="R21" s="22" t="n">
        <f aca="false">R20+(Parametros!$D$14*Forecast!L19*(1+(Parametros!$C$4+Parametros!$C$6)*Forecast!$C19)-Parametros!$E$14*Forecast!M19)/100</f>
        <v>0.696449139990034</v>
      </c>
    </row>
    <row r="22" customFormat="false" ht="15" hidden="false" customHeight="false" outlineLevel="0" collapsed="false">
      <c r="A22" s="8" t="n">
        <f aca="false">Forecast!A20</f>
        <v>2026</v>
      </c>
      <c r="B22" s="8" t="n">
        <f aca="false">Forecast!B20</f>
        <v>7</v>
      </c>
      <c r="C22" s="22" t="n">
        <f aca="false">C21+(Parametros!$D$10*Forecast!D20*(1+Parametros!$C$4*Forecast!$C20)-Parametros!$E$10*Forecast!E20)/100</f>
        <v>0.672386667380481</v>
      </c>
      <c r="D22" s="22" t="n">
        <f aca="false">D21+(Parametros!$D$11*Forecast!F20*(1+Parametros!$C$4*Forecast!$C20)-Parametros!$E$11*Forecast!G20)/100</f>
        <v>0.556707273213985</v>
      </c>
      <c r="E22" s="22" t="n">
        <f aca="false">E21+(Parametros!$D$12*Forecast!H20*(1+Parametros!$C$4*Forecast!$C20)-Parametros!$E$12*Forecast!I20)/100</f>
        <v>0.428134464764688</v>
      </c>
      <c r="F22" s="22" t="n">
        <f aca="false">F21+(Parametros!$D$13*Forecast!J20*(1+Parametros!$C$4*Forecast!$C20)-Parametros!$E$13*Forecast!K20)/100</f>
        <v>0.582707127011829</v>
      </c>
      <c r="G22" s="22" t="n">
        <f aca="false">G21+(Parametros!$D$14*Forecast!L20*(1+Parametros!$C$4*Forecast!$C20)-Parametros!$E$14*Forecast!M20)/100</f>
        <v>0.518508079632595</v>
      </c>
      <c r="H22" s="23" t="n">
        <f aca="false">MAX(0,C22-1)*Parametros!$C$10</f>
        <v>0</v>
      </c>
      <c r="I22" s="23" t="n">
        <f aca="false">MAX(0,D22-1)*Parametros!$C$11</f>
        <v>0</v>
      </c>
      <c r="J22" s="23" t="n">
        <f aca="false">MAX(0,E22-1)*Parametros!$C$12</f>
        <v>0</v>
      </c>
      <c r="K22" s="23" t="n">
        <f aca="false">MAX(0,F22-1)*Parametros!$C$13</f>
        <v>0</v>
      </c>
      <c r="L22" s="23" t="n">
        <f aca="false">MAX(0,G22-1)*Parametros!$C$14</f>
        <v>0</v>
      </c>
      <c r="M22" s="22" t="n">
        <f aca="false">(C22*Parametros!$C$10+D22*Parametros!$C$11+E22*Parametros!$C$12+F22*Parametros!$C$13)/SUM(Parametros!$C$10:$C$13)</f>
        <v>0.601666875499444</v>
      </c>
      <c r="N22" s="22" t="n">
        <f aca="false">N21+(Parametros!$D$10*Forecast!D20*(1+(Parametros!$C$4+Parametros!$C$6)*Forecast!$C20)-Parametros!$E$10*Forecast!E20)/100</f>
        <v>0.8772184947988</v>
      </c>
      <c r="O22" s="22" t="n">
        <f aca="false">O21+(Parametros!$D$11*Forecast!F20*(1+(Parametros!$C$4+Parametros!$C$6)*Forecast!$C20)-Parametros!$E$11*Forecast!G20)/100</f>
        <v>0.750901018033924</v>
      </c>
      <c r="P22" s="22" t="n">
        <f aca="false">P21+(Parametros!$D$12*Forecast!H20*(1+(Parametros!$C$4+Parametros!$C$6)*Forecast!$C20)-Parametros!$E$12*Forecast!I20)/100</f>
        <v>0.609451537473349</v>
      </c>
      <c r="Q22" s="22" t="n">
        <f aca="false">Q21+(Parametros!$D$13*Forecast!J20*(1+(Parametros!$C$4+Parametros!$C$6)*Forecast!$C20)-Parametros!$E$13*Forecast!K20)/100</f>
        <v>0.698251375696766</v>
      </c>
      <c r="R22" s="22" t="n">
        <f aca="false">R21+(Parametros!$D$14*Forecast!L20*(1+(Parametros!$C$4+Parametros!$C$6)*Forecast!$C20)-Parametros!$E$14*Forecast!M20)/100</f>
        <v>0.690686403861818</v>
      </c>
    </row>
    <row r="23" customFormat="false" ht="15" hidden="false" customHeight="false" outlineLevel="0" collapsed="false">
      <c r="A23" s="8" t="n">
        <f aca="false">Forecast!A21</f>
        <v>2026</v>
      </c>
      <c r="B23" s="8" t="n">
        <f aca="false">Forecast!B21</f>
        <v>8</v>
      </c>
      <c r="C23" s="22" t="n">
        <f aca="false">C22+(Parametros!$D$10*Forecast!D21*(1+Parametros!$C$4*Forecast!$C21)-Parametros!$E$10*Forecast!E21)/100</f>
        <v>0.668242041532019</v>
      </c>
      <c r="D23" s="22" t="n">
        <f aca="false">D22+(Parametros!$D$11*Forecast!F21*(1+Parametros!$C$4*Forecast!$C21)-Parametros!$E$11*Forecast!G21)/100</f>
        <v>0.554928142879003</v>
      </c>
      <c r="E23" s="22" t="n">
        <f aca="false">E22+(Parametros!$D$12*Forecast!H21*(1+Parametros!$C$4*Forecast!$C21)-Parametros!$E$12*Forecast!I21)/100</f>
        <v>0.416726574453859</v>
      </c>
      <c r="F23" s="22" t="n">
        <f aca="false">F22+(Parametros!$D$13*Forecast!J21*(1+Parametros!$C$4*Forecast!$C21)-Parametros!$E$13*Forecast!K21)/100</f>
        <v>0.578187832328195</v>
      </c>
      <c r="G23" s="22" t="n">
        <f aca="false">G22+(Parametros!$D$14*Forecast!L21*(1+Parametros!$C$4*Forecast!$C21)-Parametros!$E$14*Forecast!M21)/100</f>
        <v>0.508005386488909</v>
      </c>
      <c r="H23" s="23" t="n">
        <f aca="false">MAX(0,C23-1)*Parametros!$C$10</f>
        <v>0</v>
      </c>
      <c r="I23" s="23" t="n">
        <f aca="false">MAX(0,D23-1)*Parametros!$C$11</f>
        <v>0</v>
      </c>
      <c r="J23" s="23" t="n">
        <f aca="false">MAX(0,E23-1)*Parametros!$C$12</f>
        <v>0</v>
      </c>
      <c r="K23" s="23" t="n">
        <f aca="false">MAX(0,F23-1)*Parametros!$C$13</f>
        <v>0</v>
      </c>
      <c r="L23" s="23" t="n">
        <f aca="false">MAX(0,G23-1)*Parametros!$C$14</f>
        <v>0</v>
      </c>
      <c r="M23" s="22" t="n">
        <f aca="false">(C23*Parametros!$C$10+D23*Parametros!$C$11+E23*Parametros!$C$12+F23*Parametros!$C$13)/SUM(Parametros!$C$10:$C$13)</f>
        <v>0.596942270116432</v>
      </c>
      <c r="N23" s="22" t="n">
        <f aca="false">N22+(Parametros!$D$10*Forecast!D21*(1+(Parametros!$C$4+Parametros!$C$6)*Forecast!$C21)-Parametros!$E$10*Forecast!E21)/100</f>
        <v>0.873073868950338</v>
      </c>
      <c r="O23" s="22" t="n">
        <f aca="false">O22+(Parametros!$D$11*Forecast!F21*(1+(Parametros!$C$4+Parametros!$C$6)*Forecast!$C21)-Parametros!$E$11*Forecast!G21)/100</f>
        <v>0.749121887698942</v>
      </c>
      <c r="P23" s="22" t="n">
        <f aca="false">P22+(Parametros!$D$12*Forecast!H21*(1+(Parametros!$C$4+Parametros!$C$6)*Forecast!$C21)-Parametros!$E$12*Forecast!I21)/100</f>
        <v>0.59804364716252</v>
      </c>
      <c r="Q23" s="22" t="n">
        <f aca="false">Q22+(Parametros!$D$13*Forecast!J21*(1+(Parametros!$C$4+Parametros!$C$6)*Forecast!$C21)-Parametros!$E$13*Forecast!K21)/100</f>
        <v>0.693732081013131</v>
      </c>
      <c r="R23" s="22" t="n">
        <f aca="false">R22+(Parametros!$D$14*Forecast!L21*(1+(Parametros!$C$4+Parametros!$C$6)*Forecast!$C21)-Parametros!$E$14*Forecast!M21)/100</f>
        <v>0.680183710718131</v>
      </c>
    </row>
    <row r="24" customFormat="false" ht="15" hidden="false" customHeight="false" outlineLevel="0" collapsed="false">
      <c r="A24" s="8" t="n">
        <f aca="false">Forecast!A22</f>
        <v>2026</v>
      </c>
      <c r="B24" s="8" t="n">
        <f aca="false">Forecast!B22</f>
        <v>9</v>
      </c>
      <c r="C24" s="22" t="n">
        <f aca="false">C23+(Parametros!$D$10*Forecast!D22*(1+Parametros!$C$4*Forecast!$C22)-Parametros!$E$10*Forecast!E22)/100</f>
        <v>0.66215439272805</v>
      </c>
      <c r="D24" s="22" t="n">
        <f aca="false">D23+(Parametros!$D$11*Forecast!F22*(1+Parametros!$C$4*Forecast!$C22)-Parametros!$E$11*Forecast!G22)/100</f>
        <v>0.541957590989759</v>
      </c>
      <c r="E24" s="22" t="n">
        <f aca="false">E23+(Parametros!$D$12*Forecast!H22*(1+Parametros!$C$4*Forecast!$C22)-Parametros!$E$12*Forecast!I22)/100</f>
        <v>0.418857004879317</v>
      </c>
      <c r="F24" s="22" t="n">
        <f aca="false">F23+(Parametros!$D$13*Forecast!J22*(1+Parametros!$C$4*Forecast!$C22)-Parametros!$E$13*Forecast!K22)/100</f>
        <v>0.577596565002669</v>
      </c>
      <c r="G24" s="22" t="n">
        <f aca="false">G23+(Parametros!$D$14*Forecast!L22*(1+Parametros!$C$4*Forecast!$C22)-Parametros!$E$14*Forecast!M22)/100</f>
        <v>0.506867463727882</v>
      </c>
      <c r="H24" s="23" t="n">
        <f aca="false">MAX(0,C24-1)*Parametros!$C$10</f>
        <v>0</v>
      </c>
      <c r="I24" s="23" t="n">
        <f aca="false">MAX(0,D24-1)*Parametros!$C$11</f>
        <v>0</v>
      </c>
      <c r="J24" s="23" t="n">
        <f aca="false">MAX(0,E24-1)*Parametros!$C$12</f>
        <v>0</v>
      </c>
      <c r="K24" s="23" t="n">
        <f aca="false">MAX(0,F24-1)*Parametros!$C$13</f>
        <v>0</v>
      </c>
      <c r="L24" s="23" t="n">
        <f aca="false">MAX(0,G24-1)*Parametros!$C$14</f>
        <v>0</v>
      </c>
      <c r="M24" s="22" t="n">
        <f aca="false">(C24*Parametros!$C$10+D24*Parametros!$C$11+E24*Parametros!$C$12+F24*Parametros!$C$13)/SUM(Parametros!$C$10:$C$13)</f>
        <v>0.591470469665505</v>
      </c>
      <c r="N24" s="22" t="n">
        <f aca="false">N23+(Parametros!$D$10*Forecast!D22*(1+(Parametros!$C$4+Parametros!$C$6)*Forecast!$C22)-Parametros!$E$10*Forecast!E22)/100</f>
        <v>0.866986220146369</v>
      </c>
      <c r="O24" s="22" t="n">
        <f aca="false">O23+(Parametros!$D$11*Forecast!F22*(1+(Parametros!$C$4+Parametros!$C$6)*Forecast!$C22)-Parametros!$E$11*Forecast!G22)/100</f>
        <v>0.736151335809699</v>
      </c>
      <c r="P24" s="22" t="n">
        <f aca="false">P23+(Parametros!$D$12*Forecast!H22*(1+(Parametros!$C$4+Parametros!$C$6)*Forecast!$C22)-Parametros!$E$12*Forecast!I22)/100</f>
        <v>0.600174077587978</v>
      </c>
      <c r="Q24" s="22" t="n">
        <f aca="false">Q23+(Parametros!$D$13*Forecast!J22*(1+(Parametros!$C$4+Parametros!$C$6)*Forecast!$C22)-Parametros!$E$13*Forecast!K22)/100</f>
        <v>0.693140813687606</v>
      </c>
      <c r="R24" s="22" t="n">
        <f aca="false">R23+(Parametros!$D$14*Forecast!L22*(1+(Parametros!$C$4+Parametros!$C$6)*Forecast!$C22)-Parametros!$E$14*Forecast!M22)/100</f>
        <v>0.679045787957105</v>
      </c>
    </row>
    <row r="25" customFormat="false" ht="15" hidden="false" customHeight="false" outlineLevel="0" collapsed="false">
      <c r="A25" s="8" t="n">
        <f aca="false">Forecast!A23</f>
        <v>2026</v>
      </c>
      <c r="B25" s="8" t="n">
        <f aca="false">Forecast!B23</f>
        <v>10</v>
      </c>
      <c r="C25" s="22" t="n">
        <f aca="false">C24+(Parametros!$D$10*Forecast!D23*(1+Parametros!$C$4*Forecast!$C23)-Parametros!$E$10*Forecast!E23)/100</f>
        <v>0.638121955707569</v>
      </c>
      <c r="D25" s="22" t="n">
        <f aca="false">D24+(Parametros!$D$11*Forecast!F23*(1+Parametros!$C$4*Forecast!$C23)-Parametros!$E$11*Forecast!G23)/100</f>
        <v>0.54467446861079</v>
      </c>
      <c r="E25" s="22" t="n">
        <f aca="false">E24+(Parametros!$D$12*Forecast!H23*(1+Parametros!$C$4*Forecast!$C23)-Parametros!$E$12*Forecast!I23)/100</f>
        <v>0.41403851646844</v>
      </c>
      <c r="F25" s="22" t="n">
        <f aca="false">F24+(Parametros!$D$13*Forecast!J23*(1+Parametros!$C$4*Forecast!$C23)-Parametros!$E$13*Forecast!K23)/100</f>
        <v>0.569757116000086</v>
      </c>
      <c r="G25" s="22" t="n">
        <f aca="false">G24+(Parametros!$D$14*Forecast!L23*(1+Parametros!$C$4*Forecast!$C23)-Parametros!$E$14*Forecast!M23)/100</f>
        <v>0.503386309263858</v>
      </c>
      <c r="H25" s="23" t="n">
        <f aca="false">MAX(0,C25-1)*Parametros!$C$10</f>
        <v>0</v>
      </c>
      <c r="I25" s="23" t="n">
        <f aca="false">MAX(0,D25-1)*Parametros!$C$11</f>
        <v>0</v>
      </c>
      <c r="J25" s="23" t="n">
        <f aca="false">MAX(0,E25-1)*Parametros!$C$12</f>
        <v>0</v>
      </c>
      <c r="K25" s="23" t="n">
        <f aca="false">MAX(0,F25-1)*Parametros!$C$13</f>
        <v>0</v>
      </c>
      <c r="L25" s="23" t="n">
        <f aca="false">MAX(0,G25-1)*Parametros!$C$14</f>
        <v>0</v>
      </c>
      <c r="M25" s="22" t="n">
        <f aca="false">(C25*Parametros!$C$10+D25*Parametros!$C$11+E25*Parametros!$C$12+F25*Parametros!$C$13)/SUM(Parametros!$C$10:$C$13)</f>
        <v>0.577973960333256</v>
      </c>
      <c r="N25" s="22" t="n">
        <f aca="false">N24+(Parametros!$D$10*Forecast!D23*(1+(Parametros!$C$4+Parametros!$C$6)*Forecast!$C23)-Parametros!$E$10*Forecast!E23)/100</f>
        <v>0.842953783125888</v>
      </c>
      <c r="O25" s="22" t="n">
        <f aca="false">O24+(Parametros!$D$11*Forecast!F23*(1+(Parametros!$C$4+Parametros!$C$6)*Forecast!$C23)-Parametros!$E$11*Forecast!G23)/100</f>
        <v>0.73886821343073</v>
      </c>
      <c r="P25" s="22" t="n">
        <f aca="false">P24+(Parametros!$D$12*Forecast!H23*(1+(Parametros!$C$4+Parametros!$C$6)*Forecast!$C23)-Parametros!$E$12*Forecast!I23)/100</f>
        <v>0.595355589177101</v>
      </c>
      <c r="Q25" s="22" t="n">
        <f aca="false">Q24+(Parametros!$D$13*Forecast!J23*(1+(Parametros!$C$4+Parametros!$C$6)*Forecast!$C23)-Parametros!$E$13*Forecast!K23)/100</f>
        <v>0.685301364685022</v>
      </c>
      <c r="R25" s="22" t="n">
        <f aca="false">R24+(Parametros!$D$14*Forecast!L23*(1+(Parametros!$C$4+Parametros!$C$6)*Forecast!$C23)-Parametros!$E$14*Forecast!M23)/100</f>
        <v>0.675564633493081</v>
      </c>
    </row>
    <row r="26" customFormat="false" ht="15" hidden="false" customHeight="false" outlineLevel="0" collapsed="false">
      <c r="A26" s="8" t="n">
        <f aca="false">Forecast!A24</f>
        <v>2026</v>
      </c>
      <c r="B26" s="8" t="n">
        <f aca="false">Forecast!B24</f>
        <v>11</v>
      </c>
      <c r="C26" s="22" t="n">
        <f aca="false">C25+(Parametros!$D$10*Forecast!D24*(1+Parametros!$C$4*Forecast!$C24)-Parametros!$E$10*Forecast!E24)/100</f>
        <v>0.61833266841861</v>
      </c>
      <c r="D26" s="22" t="n">
        <f aca="false">D25+(Parametros!$D$11*Forecast!F24*(1+Parametros!$C$4*Forecast!$C24)-Parametros!$E$11*Forecast!G24)/100</f>
        <v>0.542232217001218</v>
      </c>
      <c r="E26" s="22" t="n">
        <f aca="false">E25+(Parametros!$D$12*Forecast!H24*(1+Parametros!$C$4*Forecast!$C24)-Parametros!$E$12*Forecast!I24)/100</f>
        <v>0.403711064189188</v>
      </c>
      <c r="F26" s="22" t="n">
        <f aca="false">F25+(Parametros!$D$13*Forecast!J24*(1+Parametros!$C$4*Forecast!$C24)-Parametros!$E$13*Forecast!K24)/100</f>
        <v>0.564293291193572</v>
      </c>
      <c r="G26" s="22" t="n">
        <f aca="false">G25+(Parametros!$D$14*Forecast!L24*(1+Parametros!$C$4*Forecast!$C24)-Parametros!$E$14*Forecast!M24)/100</f>
        <v>0.493389240418875</v>
      </c>
      <c r="H26" s="23" t="n">
        <f aca="false">MAX(0,C26-1)*Parametros!$C$10</f>
        <v>0</v>
      </c>
      <c r="I26" s="23" t="n">
        <f aca="false">MAX(0,D26-1)*Parametros!$C$11</f>
        <v>0</v>
      </c>
      <c r="J26" s="23" t="n">
        <f aca="false">MAX(0,E26-1)*Parametros!$C$12</f>
        <v>0</v>
      </c>
      <c r="K26" s="23" t="n">
        <f aca="false">MAX(0,F26-1)*Parametros!$C$13</f>
        <v>0</v>
      </c>
      <c r="L26" s="23" t="n">
        <f aca="false">MAX(0,G26-1)*Parametros!$C$14</f>
        <v>0</v>
      </c>
      <c r="M26" s="22" t="n">
        <f aca="false">(C26*Parametros!$C$10+D26*Parametros!$C$11+E26*Parametros!$C$12+F26*Parametros!$C$13)/SUM(Parametros!$C$10:$C$13)</f>
        <v>0.565210772731362</v>
      </c>
      <c r="N26" s="22" t="n">
        <f aca="false">N25+(Parametros!$D$10*Forecast!D24*(1+(Parametros!$C$4+Parametros!$C$6)*Forecast!$C24)-Parametros!$E$10*Forecast!E24)/100</f>
        <v>0.823164495836929</v>
      </c>
      <c r="O26" s="22" t="n">
        <f aca="false">O25+(Parametros!$D$11*Forecast!F24*(1+(Parametros!$C$4+Parametros!$C$6)*Forecast!$C24)-Parametros!$E$11*Forecast!G24)/100</f>
        <v>0.736425961821157</v>
      </c>
      <c r="P26" s="22" t="n">
        <f aca="false">P25+(Parametros!$D$12*Forecast!H24*(1+(Parametros!$C$4+Parametros!$C$6)*Forecast!$C24)-Parametros!$E$12*Forecast!I24)/100</f>
        <v>0.585028136897849</v>
      </c>
      <c r="Q26" s="22" t="n">
        <f aca="false">Q25+(Parametros!$D$13*Forecast!J24*(1+(Parametros!$C$4+Parametros!$C$6)*Forecast!$C24)-Parametros!$E$13*Forecast!K24)/100</f>
        <v>0.679837539878509</v>
      </c>
      <c r="R26" s="22" t="n">
        <f aca="false">R25+(Parametros!$D$14*Forecast!L24*(1+(Parametros!$C$4+Parametros!$C$6)*Forecast!$C24)-Parametros!$E$14*Forecast!M24)/100</f>
        <v>0.665567564648097</v>
      </c>
    </row>
    <row r="27" customFormat="false" ht="15" hidden="false" customHeight="false" outlineLevel="0" collapsed="false">
      <c r="A27" s="8" t="n">
        <f aca="false">Forecast!A25</f>
        <v>2026</v>
      </c>
      <c r="B27" s="8" t="n">
        <f aca="false">Forecast!B25</f>
        <v>12</v>
      </c>
      <c r="C27" s="22" t="n">
        <f aca="false">C26+(Parametros!$D$10*Forecast!D25*(1+Parametros!$C$4*Forecast!$C25)-Parametros!$E$10*Forecast!E25)/100</f>
        <v>0.624584908621823</v>
      </c>
      <c r="D27" s="22" t="n">
        <f aca="false">D26+(Parametros!$D$11*Forecast!F25*(1+Parametros!$C$4*Forecast!$C25)-Parametros!$E$11*Forecast!G25)/100</f>
        <v>0.554861190446565</v>
      </c>
      <c r="E27" s="22" t="n">
        <f aca="false">E26+(Parametros!$D$12*Forecast!H25*(1+Parametros!$C$4*Forecast!$C25)-Parametros!$E$12*Forecast!I25)/100</f>
        <v>0.412902438040115</v>
      </c>
      <c r="F27" s="22" t="n">
        <f aca="false">F26+(Parametros!$D$13*Forecast!J25*(1+Parametros!$C$4*Forecast!$C25)-Parametros!$E$13*Forecast!K25)/100</f>
        <v>0.566253147794538</v>
      </c>
      <c r="G27" s="22" t="n">
        <f aca="false">G26+(Parametros!$D$14*Forecast!L25*(1+Parametros!$C$4*Forecast!$C25)-Parametros!$E$14*Forecast!M25)/100</f>
        <v>0.488923009213048</v>
      </c>
      <c r="H27" s="23" t="n">
        <f aca="false">MAX(0,C27-1)*Parametros!$C$10</f>
        <v>0</v>
      </c>
      <c r="I27" s="23" t="n">
        <f aca="false">MAX(0,D27-1)*Parametros!$C$11</f>
        <v>0</v>
      </c>
      <c r="J27" s="23" t="n">
        <f aca="false">MAX(0,E27-1)*Parametros!$C$12</f>
        <v>0</v>
      </c>
      <c r="K27" s="23" t="n">
        <f aca="false">MAX(0,F27-1)*Parametros!$C$13</f>
        <v>0</v>
      </c>
      <c r="L27" s="23" t="n">
        <f aca="false">MAX(0,G27-1)*Parametros!$C$14</f>
        <v>0</v>
      </c>
      <c r="M27" s="22" t="n">
        <f aca="false">(C27*Parametros!$C$10+D27*Parametros!$C$11+E27*Parametros!$C$12+F27*Parametros!$C$13)/SUM(Parametros!$C$10:$C$13)</f>
        <v>0.572462812039703</v>
      </c>
      <c r="N27" s="22" t="n">
        <f aca="false">N26+(Parametros!$D$10*Forecast!D25*(1+(Parametros!$C$4+Parametros!$C$6)*Forecast!$C25)-Parametros!$E$10*Forecast!E25)/100</f>
        <v>0.829416736040142</v>
      </c>
      <c r="O27" s="22" t="n">
        <f aca="false">O26+(Parametros!$D$11*Forecast!F25*(1+(Parametros!$C$4+Parametros!$C$6)*Forecast!$C25)-Parametros!$E$11*Forecast!G25)/100</f>
        <v>0.749054935266504</v>
      </c>
      <c r="P27" s="22" t="n">
        <f aca="false">P26+(Parametros!$D$12*Forecast!H25*(1+(Parametros!$C$4+Parametros!$C$6)*Forecast!$C25)-Parametros!$E$12*Forecast!I25)/100</f>
        <v>0.594219510748776</v>
      </c>
      <c r="Q27" s="22" t="n">
        <f aca="false">Q26+(Parametros!$D$13*Forecast!J25*(1+(Parametros!$C$4+Parametros!$C$6)*Forecast!$C25)-Parametros!$E$13*Forecast!K25)/100</f>
        <v>0.681797396479475</v>
      </c>
      <c r="R27" s="22" t="n">
        <f aca="false">R26+(Parametros!$D$14*Forecast!L25*(1+(Parametros!$C$4+Parametros!$C$6)*Forecast!$C25)-Parametros!$E$14*Forecast!M25)/100</f>
        <v>0.661101333442271</v>
      </c>
    </row>
    <row r="28" customFormat="false" ht="15" hidden="false" customHeight="false" outlineLevel="0" collapsed="false">
      <c r="A28" s="8" t="n">
        <f aca="false">Forecast!A26</f>
        <v>2026</v>
      </c>
      <c r="B28" s="8" t="n">
        <f aca="false">Forecast!B26</f>
        <v>13</v>
      </c>
      <c r="C28" s="22" t="n">
        <f aca="false">C27+(Parametros!$D$10*Forecast!D26*(1+Parametros!$C$4*Forecast!$C26)-Parametros!$E$10*Forecast!E26)/100</f>
        <v>0.621782123968657</v>
      </c>
      <c r="D28" s="22" t="n">
        <f aca="false">D27+(Parametros!$D$11*Forecast!F26*(1+Parametros!$C$4*Forecast!$C26)-Parametros!$E$11*Forecast!G26)/100</f>
        <v>0.554088459300918</v>
      </c>
      <c r="E28" s="22" t="n">
        <f aca="false">E27+(Parametros!$D$12*Forecast!H26*(1+Parametros!$C$4*Forecast!$C26)-Parametros!$E$12*Forecast!I26)/100</f>
        <v>0.42250482181017</v>
      </c>
      <c r="F28" s="22" t="n">
        <f aca="false">F27+(Parametros!$D$13*Forecast!J26*(1+Parametros!$C$4*Forecast!$C26)-Parametros!$E$13*Forecast!K26)/100</f>
        <v>0.561850754410045</v>
      </c>
      <c r="G28" s="22" t="n">
        <f aca="false">G27+(Parametros!$D$14*Forecast!L26*(1+Parametros!$C$4*Forecast!$C26)-Parametros!$E$14*Forecast!M26)/100</f>
        <v>0.482837518290943</v>
      </c>
      <c r="H28" s="23" t="n">
        <f aca="false">MAX(0,C28-1)*Parametros!$C$10</f>
        <v>0</v>
      </c>
      <c r="I28" s="23" t="n">
        <f aca="false">MAX(0,D28-1)*Parametros!$C$11</f>
        <v>0</v>
      </c>
      <c r="J28" s="23" t="n">
        <f aca="false">MAX(0,E28-1)*Parametros!$C$12</f>
        <v>0</v>
      </c>
      <c r="K28" s="23" t="n">
        <f aca="false">MAX(0,F28-1)*Parametros!$C$13</f>
        <v>0</v>
      </c>
      <c r="L28" s="23" t="n">
        <f aca="false">MAX(0,G28-1)*Parametros!$C$14</f>
        <v>0</v>
      </c>
      <c r="M28" s="22" t="n">
        <f aca="false">(C28*Parametros!$C$10+D28*Parametros!$C$11+E28*Parametros!$C$12+F28*Parametros!$C$13)/SUM(Parametros!$C$10:$C$13)</f>
        <v>0.571511017651535</v>
      </c>
      <c r="N28" s="22" t="n">
        <f aca="false">N27+(Parametros!$D$10*Forecast!D26*(1+(Parametros!$C$4+Parametros!$C$6)*Forecast!$C26)-Parametros!$E$10*Forecast!E26)/100</f>
        <v>0.826613951386976</v>
      </c>
      <c r="O28" s="22" t="n">
        <f aca="false">O27+(Parametros!$D$11*Forecast!F26*(1+(Parametros!$C$4+Parametros!$C$6)*Forecast!$C26)-Parametros!$E$11*Forecast!G26)/100</f>
        <v>0.748282204120857</v>
      </c>
      <c r="P28" s="22" t="n">
        <f aca="false">P27+(Parametros!$D$12*Forecast!H26*(1+(Parametros!$C$4+Parametros!$C$6)*Forecast!$C26)-Parametros!$E$12*Forecast!I26)/100</f>
        <v>0.603821894518831</v>
      </c>
      <c r="Q28" s="22" t="n">
        <f aca="false">Q27+(Parametros!$D$13*Forecast!J26*(1+(Parametros!$C$4+Parametros!$C$6)*Forecast!$C26)-Parametros!$E$13*Forecast!K26)/100</f>
        <v>0.677395003094982</v>
      </c>
      <c r="R28" s="22" t="n">
        <f aca="false">R27+(Parametros!$D$14*Forecast!L26*(1+(Parametros!$C$4+Parametros!$C$6)*Forecast!$C26)-Parametros!$E$14*Forecast!M26)/100</f>
        <v>0.655015842520166</v>
      </c>
    </row>
  </sheetData>
  <conditionalFormatting sqref="C6:G28">
    <cfRule type="cellIs" priority="2" operator="greaterThan" aboveAverage="0" equalAverage="0" bottom="0" percent="0" rank="0" text="" dxfId="0">
      <formula>Parametros!$C$5</formula>
    </cfRule>
  </conditionalFormatting>
  <conditionalFormatting sqref="N6:R28">
    <cfRule type="cellIs" priority="3" operator="greaterThan" aboveAverage="0" equalAverage="0" bottom="0" percent="0" rank="0" text="" dxfId="1">
      <formula>Parametros!$C$5</formula>
    </cfRule>
  </conditionalFormatting>
  <conditionalFormatting sqref="M6:M28">
    <cfRule type="cellIs" priority="4" operator="greaterThan" aboveAverage="0" equalAverage="0" bottom="0" percent="0" rank="0" text="" dxfId="0">
      <formula>Parametros!$C$5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86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87</v>
      </c>
      <c r="B2" s="2"/>
      <c r="C2" s="24" t="n">
        <f aca="false">Parametros!C4</f>
        <v>0</v>
      </c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9.55" hidden="false" customHeight="false" outlineLevel="0" collapsed="false">
      <c r="A4" s="12" t="s">
        <v>34</v>
      </c>
      <c r="B4" s="12" t="s">
        <v>88</v>
      </c>
      <c r="C4" s="12" t="s">
        <v>89</v>
      </c>
      <c r="D4" s="12" t="s">
        <v>90</v>
      </c>
      <c r="E4" s="12" t="s">
        <v>91</v>
      </c>
      <c r="F4" s="12" t="s">
        <v>92</v>
      </c>
      <c r="G4" s="12" t="s">
        <v>93</v>
      </c>
      <c r="H4" s="12" t="s">
        <v>94</v>
      </c>
      <c r="I4" s="12" t="s">
        <v>95</v>
      </c>
      <c r="J4" s="12" t="s">
        <v>96</v>
      </c>
    </row>
    <row r="5" customFormat="false" ht="15" hidden="false" customHeight="false" outlineLevel="0" collapsed="false">
      <c r="A5" s="25" t="s">
        <v>44</v>
      </c>
      <c r="B5" s="26" t="n">
        <f aca="false">Parametros!F10</f>
        <v>0.8019</v>
      </c>
      <c r="C5" s="27" t="n">
        <f aca="false">MAX(Proyeccion!C$6:C$28)</f>
        <v>1.09861971262647</v>
      </c>
      <c r="D5" s="13" t="str">
        <f aca="false">INDEX(Proyeccion!$A$6:$A$28,MATCH(C5,Proyeccion!C$6:C$28,0))&amp;"-S"&amp;TEXT(INDEX(Proyeccion!$B$6:$B$28,MATCH(C5,Proyeccion!C$6:C$28,0)),"00")</f>
        <v>2025-S51</v>
      </c>
      <c r="E5" s="28" t="n">
        <f aca="false">COUNTIF(Proyeccion!C$6:C$28,"&gt;"&amp;Parametros!$C$5)</f>
        <v>5</v>
      </c>
      <c r="F5" s="29" t="n">
        <f aca="false">MAX(Proyeccion!H$6:H$28)</f>
        <v>473.374620607067</v>
      </c>
      <c r="G5" s="26" t="n">
        <f aca="false">Parametros!I10/MAX(Forecast!E$4:E$26)</f>
        <v>1.10799090683325</v>
      </c>
      <c r="H5" s="26" t="n">
        <f aca="false">Parametros!I10*COUNT(Forecast!E$4:E$26)/SUM(Forecast!E$4:E$26)</f>
        <v>1.26203438239547</v>
      </c>
      <c r="I5" s="27" t="n">
        <f aca="false">MAX(Proyeccion!N$6:N$28)</f>
        <v>1.30345154004479</v>
      </c>
      <c r="J5" s="13" t="str">
        <f aca="false">IF(C5&gt;Parametros!$C$5,"Crítico",IF(I5&gt;Parametros!$C$5,"Alerta","En control"))</f>
        <v>Crítico</v>
      </c>
    </row>
    <row r="6" customFormat="false" ht="15" hidden="false" customHeight="false" outlineLevel="0" collapsed="false">
      <c r="A6" s="25" t="s">
        <v>46</v>
      </c>
      <c r="B6" s="26" t="n">
        <f aca="false">Parametros!F11</f>
        <v>0.7078</v>
      </c>
      <c r="C6" s="27" t="n">
        <f aca="false">MAX(Proyeccion!D$6:D$28)</f>
        <v>0.877318643856747</v>
      </c>
      <c r="D6" s="13" t="str">
        <f aca="false">INDEX(Proyeccion!$A$6:$A$28,MATCH(C6,Proyeccion!D$6:D$28,0))&amp;"-S"&amp;TEXT(INDEX(Proyeccion!$B$6:$B$28,MATCH(C6,Proyeccion!D$6:D$28,0)),"00")</f>
        <v>2025-S50</v>
      </c>
      <c r="E6" s="28" t="n">
        <f aca="false">COUNTIF(Proyeccion!D$6:D$28,"&gt;"&amp;Parametros!$C$5)</f>
        <v>0</v>
      </c>
      <c r="F6" s="29" t="n">
        <f aca="false">MAX(Proyeccion!I$6:I$28)</f>
        <v>0</v>
      </c>
      <c r="G6" s="26" t="n">
        <f aca="false">Parametros!I11/MAX(Forecast!G$4:G$26)</f>
        <v>1.03851963746224</v>
      </c>
      <c r="H6" s="26" t="n">
        <f aca="false">Parametros!I11*COUNT(Forecast!G$4:G$26)/SUM(Forecast!G$4:G$26)</f>
        <v>1.17365919101945</v>
      </c>
      <c r="I6" s="27" t="n">
        <f aca="false">MAX(Proyeccion!O$6:O$28)</f>
        <v>1.06781743267001</v>
      </c>
      <c r="J6" s="13" t="str">
        <f aca="false">IF(C6&gt;Parametros!$C$5,"Crítico",IF(I6&gt;Parametros!$C$5,"Alerta","En control"))</f>
        <v>Alerta</v>
      </c>
    </row>
    <row r="7" customFormat="false" ht="15" hidden="false" customHeight="false" outlineLevel="0" collapsed="false">
      <c r="A7" s="25" t="s">
        <v>47</v>
      </c>
      <c r="B7" s="26" t="n">
        <f aca="false">Parametros!F12</f>
        <v>0.6875</v>
      </c>
      <c r="C7" s="27" t="n">
        <f aca="false">MAX(Proyeccion!E$6:E$28)</f>
        <v>0.687688674922802</v>
      </c>
      <c r="D7" s="13" t="str">
        <f aca="false">INDEX(Proyeccion!$A$6:$A$28,MATCH(C7,Proyeccion!E$6:E$28,0))&amp;"-S"&amp;TEXT(INDEX(Proyeccion!$B$6:$B$28,MATCH(C7,Proyeccion!E$6:E$28,0)),"00")</f>
        <v>2025-S51</v>
      </c>
      <c r="E7" s="28" t="n">
        <f aca="false">COUNTIF(Proyeccion!E$6:E$28,"&gt;"&amp;Parametros!$C$5)</f>
        <v>0</v>
      </c>
      <c r="F7" s="29" t="n">
        <f aca="false">MAX(Proyeccion!J$6:J$28)</f>
        <v>0</v>
      </c>
      <c r="G7" s="26" t="n">
        <f aca="false">Parametros!I12/MAX(Forecast!I$4:I$26)</f>
        <v>1.07456454551037</v>
      </c>
      <c r="H7" s="26" t="n">
        <f aca="false">Parametros!I12*COUNT(Forecast!I$4:I$26)/SUM(Forecast!I$4:I$26)</f>
        <v>1.19358341418234</v>
      </c>
      <c r="I7" s="27" t="n">
        <f aca="false">MAX(Proyeccion!P$6:P$28)</f>
        <v>0.869005747631463</v>
      </c>
      <c r="J7" s="13" t="str">
        <f aca="false">IF(C7&gt;Parametros!$C$5,"Crítico",IF(I7&gt;Parametros!$C$5,"Alerta","En control"))</f>
        <v>En control</v>
      </c>
    </row>
    <row r="8" customFormat="false" ht="15" hidden="false" customHeight="false" outlineLevel="0" collapsed="false">
      <c r="A8" s="25" t="s">
        <v>48</v>
      </c>
      <c r="B8" s="26" t="n">
        <f aca="false">Parametros!F13</f>
        <v>0.7092</v>
      </c>
      <c r="C8" s="27" t="n">
        <f aca="false">MAX(Proyeccion!F$6:F$28)</f>
        <v>0.868757998254622</v>
      </c>
      <c r="D8" s="13" t="str">
        <f aca="false">INDEX(Proyeccion!$A$6:$A$28,MATCH(C8,Proyeccion!F$6:F$28,0))&amp;"-S"&amp;TEXT(INDEX(Proyeccion!$B$6:$B$28,MATCH(C8,Proyeccion!F$6:F$28,0)),"00")</f>
        <v>2025-S48</v>
      </c>
      <c r="E8" s="28" t="n">
        <f aca="false">COUNTIF(Proyeccion!F$6:F$28,"&gt;"&amp;Parametros!$C$5)</f>
        <v>0</v>
      </c>
      <c r="F8" s="29" t="n">
        <f aca="false">MAX(Proyeccion!K$6:K$28)</f>
        <v>0</v>
      </c>
      <c r="G8" s="26" t="n">
        <f aca="false">Parametros!I13/MAX(Forecast!K$4:K$26)</f>
        <v>1.03035423578626</v>
      </c>
      <c r="H8" s="26" t="n">
        <f aca="false">Parametros!I13*COUNT(Forecast!K$4:K$26)/SUM(Forecast!K$4:K$26)</f>
        <v>1.16687535133095</v>
      </c>
      <c r="I8" s="27" t="n">
        <f aca="false">MAX(Proyeccion!Q$6:Q$28)</f>
        <v>0.955669003350276</v>
      </c>
      <c r="J8" s="13" t="str">
        <f aca="false">IF(C8&gt;Parametros!$C$5,"Crítico",IF(I8&gt;Parametros!$C$5,"Alerta","En control"))</f>
        <v>En control</v>
      </c>
    </row>
    <row r="9" customFormat="false" ht="15" hidden="false" customHeight="false" outlineLevel="0" collapsed="false">
      <c r="A9" s="25" t="s">
        <v>49</v>
      </c>
      <c r="B9" s="26" t="n">
        <f aca="false">Parametros!F14</f>
        <v>0.6306</v>
      </c>
      <c r="C9" s="27" t="n">
        <f aca="false">MAX(Proyeccion!G$6:G$28)</f>
        <v>0.944197283866006</v>
      </c>
      <c r="D9" s="13" t="str">
        <f aca="false">INDEX(Proyeccion!$A$6:$A$28,MATCH(C9,Proyeccion!G$6:G$28,0))&amp;"-S"&amp;TEXT(INDEX(Proyeccion!$B$6:$B$28,MATCH(C9,Proyeccion!G$6:G$28,0)),"00")</f>
        <v>2025-S51</v>
      </c>
      <c r="E9" s="28" t="n">
        <f aca="false">COUNTIF(Proyeccion!G$6:G$28,"&gt;"&amp;Parametros!$C$5)</f>
        <v>0</v>
      </c>
      <c r="F9" s="29" t="n">
        <f aca="false">MAX(Proyeccion!L$6:L$28)</f>
        <v>0</v>
      </c>
      <c r="G9" s="26" t="n">
        <f aca="false">Parametros!I14/MAX(Forecast!M$4:M$26)</f>
        <v>1.00468854655057</v>
      </c>
      <c r="H9" s="26" t="n">
        <f aca="false">Parametros!I14*COUNT(Forecast!M$4:M$26)/SUM(Forecast!M$4:M$26)</f>
        <v>1.09485328285977</v>
      </c>
      <c r="I9" s="27" t="n">
        <f aca="false">MAX(Proyeccion!R$6:R$28)</f>
        <v>1.11637560809523</v>
      </c>
      <c r="J9" s="13" t="str">
        <f aca="false">IF(C9&gt;Parametros!$C$5,"Crítico",IF(I9&gt;Parametros!$C$5,"Alerta","En control"))</f>
        <v>Alerta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5" hidden="false" customHeight="false" outlineLevel="0" collapsed="false">
      <c r="A11" s="4" t="s">
        <v>97</v>
      </c>
      <c r="B11" s="2"/>
      <c r="C11" s="30" t="n">
        <f aca="false">MAX(Proyeccion!M6:M28)</f>
        <v>0.951270173103742</v>
      </c>
      <c r="D11" s="2"/>
      <c r="E11" s="2" t="n">
        <f aca="false">COUNTIF(Proyeccion!M6:M28,"&gt;"&amp;Parametros!$C$5)</f>
        <v>0</v>
      </c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3" t="s">
        <v>98</v>
      </c>
      <c r="B13" s="2"/>
      <c r="C13" s="2"/>
      <c r="D13" s="2"/>
      <c r="E13" s="2"/>
      <c r="F13" s="2"/>
      <c r="G13" s="2"/>
      <c r="H13" s="2"/>
      <c r="I13" s="2"/>
      <c r="J13" s="2"/>
    </row>
  </sheetData>
  <conditionalFormatting sqref="J5:J9">
    <cfRule type="expression" priority="2" aboveAverage="0" equalAverage="0" bottom="0" percent="0" rank="0" text="" dxfId="0">
      <formula>J5="Crítico"</formula>
    </cfRule>
    <cfRule type="expression" priority="3" aboveAverage="0" equalAverage="0" bottom="0" percent="0" rank="0" text="" dxfId="1">
      <formula>J5="Alerta"</formula>
    </cfRule>
    <cfRule type="expression" priority="4" aboveAverage="0" equalAverage="0" bottom="0" percent="0" rank="0" text="" dxfId="2">
      <formula>J5="En control"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3" min="10" style="0" width="10"/>
    <col collapsed="false" customWidth="true" hidden="false" outlineLevel="0" max="14" min="14" style="0" width="18"/>
  </cols>
  <sheetData>
    <row r="1" customFormat="false" ht="26.85" hidden="false" customHeight="false" outlineLevel="0" collapsed="false">
      <c r="A1" s="12" t="s">
        <v>99</v>
      </c>
      <c r="B1" s="12" t="s">
        <v>100</v>
      </c>
      <c r="C1" s="12" t="s">
        <v>101</v>
      </c>
      <c r="D1" s="12" t="s">
        <v>102</v>
      </c>
      <c r="E1" s="12" t="s">
        <v>103</v>
      </c>
      <c r="F1" s="12" t="s">
        <v>104</v>
      </c>
      <c r="G1" s="12" t="s">
        <v>105</v>
      </c>
      <c r="H1" s="12" t="s">
        <v>106</v>
      </c>
      <c r="I1" s="12" t="s">
        <v>107</v>
      </c>
      <c r="J1" s="12" t="s">
        <v>108</v>
      </c>
      <c r="K1" s="12" t="s">
        <v>109</v>
      </c>
      <c r="L1" s="12" t="s">
        <v>110</v>
      </c>
      <c r="M1" s="12" t="s">
        <v>111</v>
      </c>
      <c r="N1" s="12" t="s">
        <v>112</v>
      </c>
    </row>
    <row r="2" customFormat="false" ht="15" hidden="false" customHeight="false" outlineLevel="0" collapsed="false">
      <c r="A2" s="7" t="s">
        <v>48</v>
      </c>
      <c r="B2" s="7" t="n">
        <v>2024</v>
      </c>
      <c r="C2" s="7" t="n">
        <v>1</v>
      </c>
      <c r="D2" s="7" t="n">
        <v>1</v>
      </c>
      <c r="E2" s="20" t="n">
        <v>8460</v>
      </c>
      <c r="F2" s="20" t="n">
        <v>8208</v>
      </c>
      <c r="G2" s="20" t="n">
        <v>41708</v>
      </c>
      <c r="H2" s="20" t="n">
        <v>38999</v>
      </c>
      <c r="I2" s="31" t="n">
        <v>0.6783</v>
      </c>
      <c r="J2" s="32" t="b">
        <f aca="false">FALSE()</f>
        <v>0</v>
      </c>
      <c r="K2" s="32" t="b">
        <f aca="false">FALSE()</f>
        <v>0</v>
      </c>
      <c r="L2" s="32" t="b">
        <f aca="false">FALSE()</f>
        <v>0</v>
      </c>
      <c r="M2" s="32" t="b">
        <f aca="false">FALSE()</f>
        <v>0</v>
      </c>
      <c r="N2" s="6" t="str">
        <f aca="false">IF(OR(AND(B2=2024,C2&gt;=43),AND(B2=2025,C2&lt;=13)),"Temporada 2024-25",IF(AND(B2=2025,C2&gt;=36,C2&lt;=42),"Sep-oct 2025","Resto del año"))</f>
        <v>Resto del año</v>
      </c>
    </row>
    <row r="3" customFormat="false" ht="15" hidden="false" customHeight="false" outlineLevel="0" collapsed="false">
      <c r="A3" s="7" t="s">
        <v>48</v>
      </c>
      <c r="B3" s="7" t="n">
        <v>2024</v>
      </c>
      <c r="C3" s="7" t="n">
        <v>2</v>
      </c>
      <c r="D3" s="7" t="n">
        <v>1</v>
      </c>
      <c r="E3" s="20" t="n">
        <v>7626</v>
      </c>
      <c r="F3" s="20" t="n">
        <v>8347</v>
      </c>
      <c r="G3" s="20" t="n">
        <v>34492</v>
      </c>
      <c r="H3" s="20" t="n">
        <v>36225</v>
      </c>
      <c r="I3" s="31" t="n">
        <v>0.6406</v>
      </c>
      <c r="J3" s="32" t="b">
        <f aca="false">FALSE()</f>
        <v>0</v>
      </c>
      <c r="K3" s="32" t="b">
        <f aca="false">FALSE()</f>
        <v>0</v>
      </c>
      <c r="L3" s="32" t="b">
        <f aca="false">FALSE()</f>
        <v>0</v>
      </c>
      <c r="M3" s="32" t="b">
        <f aca="false">FALSE()</f>
        <v>0</v>
      </c>
      <c r="N3" s="6" t="str">
        <f aca="false">IF(OR(AND(B3=2024,C3&gt;=43),AND(B3=2025,C3&lt;=13)),"Temporada 2024-25",IF(AND(B3=2025,C3&gt;=36,C3&lt;=42),"Sep-oct 2025","Resto del año"))</f>
        <v>Resto del año</v>
      </c>
    </row>
    <row r="4" customFormat="false" ht="15" hidden="false" customHeight="false" outlineLevel="0" collapsed="false">
      <c r="A4" s="7" t="s">
        <v>48</v>
      </c>
      <c r="B4" s="7" t="n">
        <v>2024</v>
      </c>
      <c r="C4" s="7" t="n">
        <v>3</v>
      </c>
      <c r="D4" s="7" t="n">
        <v>1</v>
      </c>
      <c r="E4" s="20" t="n">
        <v>10383</v>
      </c>
      <c r="F4" s="20" t="n">
        <v>10335</v>
      </c>
      <c r="G4" s="20" t="n">
        <v>33374</v>
      </c>
      <c r="H4" s="20" t="n">
        <v>35887</v>
      </c>
      <c r="I4" s="31" t="n">
        <v>0.6199</v>
      </c>
      <c r="J4" s="32" t="b">
        <f aca="false">FALSE()</f>
        <v>0</v>
      </c>
      <c r="K4" s="32" t="b">
        <f aca="false">FALSE()</f>
        <v>0</v>
      </c>
      <c r="L4" s="32" t="b">
        <f aca="false">FALSE()</f>
        <v>0</v>
      </c>
      <c r="M4" s="32" t="b">
        <f aca="false">FALSE()</f>
        <v>0</v>
      </c>
      <c r="N4" s="6" t="str">
        <f aca="false">IF(OR(AND(B4=2024,C4&gt;=43),AND(B4=2025,C4&lt;=13)),"Temporada 2024-25",IF(AND(B4=2025,C4&gt;=36,C4&lt;=42),"Sep-oct 2025","Resto del año"))</f>
        <v>Resto del año</v>
      </c>
    </row>
    <row r="5" customFormat="false" ht="15" hidden="false" customHeight="false" outlineLevel="0" collapsed="false">
      <c r="A5" s="7" t="s">
        <v>48</v>
      </c>
      <c r="B5" s="7" t="n">
        <v>2024</v>
      </c>
      <c r="C5" s="7" t="n">
        <v>4</v>
      </c>
      <c r="D5" s="7" t="n">
        <v>1</v>
      </c>
      <c r="E5" s="20" t="n">
        <v>12602</v>
      </c>
      <c r="F5" s="20" t="n">
        <v>12178</v>
      </c>
      <c r="G5" s="20" t="n">
        <v>41529</v>
      </c>
      <c r="H5" s="20" t="n">
        <v>38523</v>
      </c>
      <c r="I5" s="31" t="n">
        <v>0.6125</v>
      </c>
      <c r="J5" s="32" t="b">
        <f aca="false">FALSE()</f>
        <v>0</v>
      </c>
      <c r="K5" s="32" t="b">
        <f aca="false">FALSE()</f>
        <v>0</v>
      </c>
      <c r="L5" s="32" t="b">
        <f aca="false">FALSE()</f>
        <v>0</v>
      </c>
      <c r="M5" s="32" t="b">
        <f aca="false">FALSE()</f>
        <v>0</v>
      </c>
      <c r="N5" s="6" t="str">
        <f aca="false">IF(OR(AND(B5=2024,C5&gt;=43),AND(B5=2025,C5&lt;=13)),"Temporada 2024-25",IF(AND(B5=2025,C5&gt;=36,C5&lt;=42),"Sep-oct 2025","Resto del año"))</f>
        <v>Resto del año</v>
      </c>
    </row>
    <row r="6" customFormat="false" ht="15" hidden="false" customHeight="false" outlineLevel="0" collapsed="false">
      <c r="A6" s="7" t="s">
        <v>48</v>
      </c>
      <c r="B6" s="7" t="n">
        <v>2024</v>
      </c>
      <c r="C6" s="7" t="n">
        <v>5</v>
      </c>
      <c r="D6" s="7" t="n">
        <v>1</v>
      </c>
      <c r="E6" s="20" t="n">
        <v>11825</v>
      </c>
      <c r="F6" s="20" t="n">
        <v>15306</v>
      </c>
      <c r="G6" s="20" t="n">
        <v>42128</v>
      </c>
      <c r="H6" s="20" t="n">
        <v>39933</v>
      </c>
      <c r="I6" s="31" t="n">
        <v>0.6317</v>
      </c>
      <c r="J6" s="32" t="b">
        <f aca="false">FALSE()</f>
        <v>0</v>
      </c>
      <c r="K6" s="32" t="b">
        <f aca="false">FALSE()</f>
        <v>0</v>
      </c>
      <c r="L6" s="32" t="b">
        <f aca="false">FALSE()</f>
        <v>0</v>
      </c>
      <c r="M6" s="32" t="b">
        <f aca="false">FALSE()</f>
        <v>0</v>
      </c>
      <c r="N6" s="6" t="str">
        <f aca="false">IF(OR(AND(B6=2024,C6&gt;=43),AND(B6=2025,C6&lt;=13)),"Temporada 2024-25",IF(AND(B6=2025,C6&gt;=36,C6&lt;=42),"Sep-oct 2025","Resto del año"))</f>
        <v>Resto del año</v>
      </c>
    </row>
    <row r="7" customFormat="false" ht="15" hidden="false" customHeight="false" outlineLevel="0" collapsed="false">
      <c r="A7" s="7" t="s">
        <v>48</v>
      </c>
      <c r="B7" s="7" t="n">
        <v>2024</v>
      </c>
      <c r="C7" s="7" t="n">
        <v>6</v>
      </c>
      <c r="D7" s="7" t="n">
        <v>2</v>
      </c>
      <c r="E7" s="20" t="n">
        <v>14540</v>
      </c>
      <c r="F7" s="20" t="n">
        <v>15838</v>
      </c>
      <c r="G7" s="20" t="n">
        <v>39740</v>
      </c>
      <c r="H7" s="20" t="n">
        <v>39994</v>
      </c>
      <c r="I7" s="31" t="n">
        <v>0.6403</v>
      </c>
      <c r="J7" s="32" t="b">
        <f aca="false">FALSE()</f>
        <v>0</v>
      </c>
      <c r="K7" s="32" t="b">
        <f aca="false">FALSE()</f>
        <v>0</v>
      </c>
      <c r="L7" s="32" t="b">
        <f aca="false">FALSE()</f>
        <v>0</v>
      </c>
      <c r="M7" s="32" t="b">
        <f aca="false">FALSE()</f>
        <v>0</v>
      </c>
      <c r="N7" s="6" t="str">
        <f aca="false">IF(OR(AND(B7=2024,C7&gt;=43),AND(B7=2025,C7&lt;=13)),"Temporada 2024-25",IF(AND(B7=2025,C7&gt;=36,C7&lt;=42),"Sep-oct 2025","Resto del año"))</f>
        <v>Resto del año</v>
      </c>
    </row>
    <row r="8" customFormat="false" ht="15" hidden="false" customHeight="false" outlineLevel="0" collapsed="false">
      <c r="A8" s="7" t="s">
        <v>48</v>
      </c>
      <c r="B8" s="7" t="n">
        <v>2024</v>
      </c>
      <c r="C8" s="7" t="n">
        <v>7</v>
      </c>
      <c r="D8" s="7" t="n">
        <v>2</v>
      </c>
      <c r="E8" s="20" t="n">
        <v>17245</v>
      </c>
      <c r="F8" s="20" t="n">
        <v>16416</v>
      </c>
      <c r="G8" s="20" t="n">
        <v>39524</v>
      </c>
      <c r="H8" s="20" t="n">
        <v>41830</v>
      </c>
      <c r="I8" s="31" t="n">
        <v>0.6509</v>
      </c>
      <c r="J8" s="32" t="b">
        <f aca="false">FALSE()</f>
        <v>0</v>
      </c>
      <c r="K8" s="32" t="b">
        <f aca="false">FALSE()</f>
        <v>0</v>
      </c>
      <c r="L8" s="32" t="b">
        <f aca="false">FALSE()</f>
        <v>0</v>
      </c>
      <c r="M8" s="32" t="b">
        <f aca="false">FALSE()</f>
        <v>0</v>
      </c>
      <c r="N8" s="6" t="str">
        <f aca="false">IF(OR(AND(B8=2024,C8&gt;=43),AND(B8=2025,C8&lt;=13)),"Temporada 2024-25",IF(AND(B8=2025,C8&gt;=36,C8&lt;=42),"Sep-oct 2025","Resto del año"))</f>
        <v>Resto del año</v>
      </c>
    </row>
    <row r="9" customFormat="false" ht="15" hidden="false" customHeight="false" outlineLevel="0" collapsed="false">
      <c r="A9" s="7" t="s">
        <v>48</v>
      </c>
      <c r="B9" s="7" t="n">
        <v>2024</v>
      </c>
      <c r="C9" s="7" t="n">
        <v>8</v>
      </c>
      <c r="D9" s="7" t="n">
        <v>2</v>
      </c>
      <c r="E9" s="20" t="n">
        <v>14166</v>
      </c>
      <c r="F9" s="20" t="n">
        <v>15238</v>
      </c>
      <c r="G9" s="20" t="n">
        <v>42334</v>
      </c>
      <c r="H9" s="20" t="n">
        <v>39497</v>
      </c>
      <c r="I9" s="31" t="n">
        <v>0.6614</v>
      </c>
      <c r="J9" s="32" t="b">
        <f aca="false">FALSE()</f>
        <v>0</v>
      </c>
      <c r="K9" s="32" t="b">
        <f aca="false">FALSE()</f>
        <v>0</v>
      </c>
      <c r="L9" s="32" t="b">
        <f aca="false">FALSE()</f>
        <v>0</v>
      </c>
      <c r="M9" s="32" t="b">
        <f aca="false">FALSE()</f>
        <v>0</v>
      </c>
      <c r="N9" s="6" t="str">
        <f aca="false">IF(OR(AND(B9=2024,C9&gt;=43),AND(B9=2025,C9&lt;=13)),"Temporada 2024-25",IF(AND(B9=2025,C9&gt;=36,C9&lt;=42),"Sep-oct 2025","Resto del año"))</f>
        <v>Resto del año</v>
      </c>
    </row>
    <row r="10" customFormat="false" ht="15" hidden="false" customHeight="false" outlineLevel="0" collapsed="false">
      <c r="A10" s="7" t="s">
        <v>48</v>
      </c>
      <c r="B10" s="7" t="n">
        <v>2024</v>
      </c>
      <c r="C10" s="7" t="n">
        <v>9</v>
      </c>
      <c r="D10" s="7" t="n">
        <v>2</v>
      </c>
      <c r="E10" s="20" t="n">
        <v>16896</v>
      </c>
      <c r="F10" s="20" t="n">
        <v>16889</v>
      </c>
      <c r="G10" s="20" t="n">
        <v>42231</v>
      </c>
      <c r="H10" s="20" t="n">
        <v>42925</v>
      </c>
      <c r="I10" s="31" t="n">
        <v>0.6671</v>
      </c>
      <c r="J10" s="32" t="b">
        <f aca="false">FALSE()</f>
        <v>0</v>
      </c>
      <c r="K10" s="32" t="b">
        <f aca="false">FALSE()</f>
        <v>0</v>
      </c>
      <c r="L10" s="32" t="b">
        <f aca="false">FALSE()</f>
        <v>0</v>
      </c>
      <c r="M10" s="32" t="b">
        <f aca="false">FALSE()</f>
        <v>0</v>
      </c>
      <c r="N10" s="6" t="str">
        <f aca="false">IF(OR(AND(B10=2024,C10&gt;=43),AND(B10=2025,C10&lt;=13)),"Temporada 2024-25",IF(AND(B10=2025,C10&gt;=36,C10&lt;=42),"Sep-oct 2025","Resto del año"))</f>
        <v>Resto del año</v>
      </c>
    </row>
    <row r="11" customFormat="false" ht="15" hidden="false" customHeight="false" outlineLevel="0" collapsed="false">
      <c r="A11" s="7" t="s">
        <v>48</v>
      </c>
      <c r="B11" s="7" t="n">
        <v>2024</v>
      </c>
      <c r="C11" s="7" t="n">
        <v>10</v>
      </c>
      <c r="D11" s="7" t="n">
        <v>3</v>
      </c>
      <c r="E11" s="20" t="n">
        <v>15212</v>
      </c>
      <c r="F11" s="20" t="n">
        <v>16974</v>
      </c>
      <c r="G11" s="20" t="n">
        <v>47138</v>
      </c>
      <c r="H11" s="20" t="n">
        <v>45207</v>
      </c>
      <c r="I11" s="31" t="n">
        <v>0.6702</v>
      </c>
      <c r="J11" s="32" t="b">
        <f aca="false">FALSE()</f>
        <v>0</v>
      </c>
      <c r="K11" s="32" t="b">
        <f aca="false">FALSE()</f>
        <v>0</v>
      </c>
      <c r="L11" s="32" t="b">
        <f aca="false">FALSE()</f>
        <v>0</v>
      </c>
      <c r="M11" s="32" t="b">
        <f aca="false">FALSE()</f>
        <v>0</v>
      </c>
      <c r="N11" s="6" t="str">
        <f aca="false">IF(OR(AND(B11=2024,C11&gt;=43),AND(B11=2025,C11&lt;=13)),"Temporada 2024-25",IF(AND(B11=2025,C11&gt;=36,C11&lt;=42),"Sep-oct 2025","Resto del año"))</f>
        <v>Resto del año</v>
      </c>
    </row>
    <row r="12" customFormat="false" ht="15" hidden="false" customHeight="false" outlineLevel="0" collapsed="false">
      <c r="A12" s="7" t="s">
        <v>48</v>
      </c>
      <c r="B12" s="7" t="n">
        <v>2024</v>
      </c>
      <c r="C12" s="7" t="n">
        <v>11</v>
      </c>
      <c r="D12" s="7" t="n">
        <v>3</v>
      </c>
      <c r="E12" s="20" t="n">
        <v>15986</v>
      </c>
      <c r="F12" s="20" t="n">
        <v>17567</v>
      </c>
      <c r="G12" s="20" t="n">
        <v>44984</v>
      </c>
      <c r="H12" s="20" t="n">
        <v>44093</v>
      </c>
      <c r="I12" s="31" t="n">
        <v>0.6831</v>
      </c>
      <c r="J12" s="32" t="b">
        <f aca="false">FALSE()</f>
        <v>0</v>
      </c>
      <c r="K12" s="32" t="b">
        <f aca="false">FALSE()</f>
        <v>0</v>
      </c>
      <c r="L12" s="32" t="b">
        <f aca="false">FALSE()</f>
        <v>0</v>
      </c>
      <c r="M12" s="32" t="b">
        <f aca="false">FALSE()</f>
        <v>0</v>
      </c>
      <c r="N12" s="6" t="str">
        <f aca="false">IF(OR(AND(B12=2024,C12&gt;=43),AND(B12=2025,C12&lt;=13)),"Temporada 2024-25",IF(AND(B12=2025,C12&gt;=36,C12&lt;=42),"Sep-oct 2025","Resto del año"))</f>
        <v>Resto del año</v>
      </c>
    </row>
    <row r="13" customFormat="false" ht="15" hidden="false" customHeight="false" outlineLevel="0" collapsed="false">
      <c r="A13" s="7" t="s">
        <v>48</v>
      </c>
      <c r="B13" s="7" t="n">
        <v>2024</v>
      </c>
      <c r="C13" s="7" t="n">
        <v>12</v>
      </c>
      <c r="D13" s="7" t="n">
        <v>3</v>
      </c>
      <c r="E13" s="20" t="n">
        <v>20054</v>
      </c>
      <c r="F13" s="20" t="n">
        <v>19210</v>
      </c>
      <c r="G13" s="20" t="n">
        <v>48217</v>
      </c>
      <c r="H13" s="20" t="n">
        <v>46617</v>
      </c>
      <c r="I13" s="31" t="n">
        <v>0.6924</v>
      </c>
      <c r="J13" s="32" t="b">
        <f aca="false">FALSE()</f>
        <v>0</v>
      </c>
      <c r="K13" s="32" t="b">
        <f aca="false">FALSE()</f>
        <v>0</v>
      </c>
      <c r="L13" s="32" t="b">
        <f aca="false">FALSE()</f>
        <v>0</v>
      </c>
      <c r="M13" s="32" t="b">
        <f aca="false">FALSE()</f>
        <v>0</v>
      </c>
      <c r="N13" s="6" t="str">
        <f aca="false">IF(OR(AND(B13=2024,C13&gt;=43),AND(B13=2025,C13&lt;=13)),"Temporada 2024-25",IF(AND(B13=2025,C13&gt;=36,C13&lt;=42),"Sep-oct 2025","Resto del año"))</f>
        <v>Resto del año</v>
      </c>
    </row>
    <row r="14" customFormat="false" ht="15" hidden="false" customHeight="false" outlineLevel="0" collapsed="false">
      <c r="A14" s="7" t="s">
        <v>48</v>
      </c>
      <c r="B14" s="7" t="n">
        <v>2024</v>
      </c>
      <c r="C14" s="7" t="n">
        <v>13</v>
      </c>
      <c r="D14" s="7" t="n">
        <v>3</v>
      </c>
      <c r="E14" s="20" t="n">
        <v>17174</v>
      </c>
      <c r="F14" s="20" t="n">
        <v>16338</v>
      </c>
      <c r="G14" s="20" t="n">
        <v>42886</v>
      </c>
      <c r="H14" s="20" t="n">
        <v>46542</v>
      </c>
      <c r="I14" s="31" t="n">
        <v>0.6913</v>
      </c>
      <c r="J14" s="32" t="b">
        <f aca="false">FALSE()</f>
        <v>0</v>
      </c>
      <c r="K14" s="32" t="b">
        <f aca="false">FALSE()</f>
        <v>0</v>
      </c>
      <c r="L14" s="32" t="b">
        <f aca="false">FALSE()</f>
        <v>0</v>
      </c>
      <c r="M14" s="32" t="b">
        <f aca="false">FALSE()</f>
        <v>0</v>
      </c>
      <c r="N14" s="6" t="str">
        <f aca="false">IF(OR(AND(B14=2024,C14&gt;=43),AND(B14=2025,C14&lt;=13)),"Temporada 2024-25",IF(AND(B14=2025,C14&gt;=36,C14&lt;=42),"Sep-oct 2025","Resto del año"))</f>
        <v>Resto del año</v>
      </c>
    </row>
    <row r="15" customFormat="false" ht="15" hidden="false" customHeight="false" outlineLevel="0" collapsed="false">
      <c r="A15" s="7" t="s">
        <v>48</v>
      </c>
      <c r="B15" s="7" t="n">
        <v>2024</v>
      </c>
      <c r="C15" s="7" t="n">
        <v>14</v>
      </c>
      <c r="D15" s="7" t="n">
        <v>4</v>
      </c>
      <c r="E15" s="20" t="n">
        <v>16027</v>
      </c>
      <c r="F15" s="20" t="n">
        <v>16236</v>
      </c>
      <c r="G15" s="20" t="n">
        <v>41500</v>
      </c>
      <c r="H15" s="20" t="n">
        <v>41329</v>
      </c>
      <c r="I15" s="31" t="n">
        <v>0.6899</v>
      </c>
      <c r="J15" s="32" t="b">
        <f aca="false">FALSE()</f>
        <v>0</v>
      </c>
      <c r="K15" s="32" t="b">
        <f aca="false">FALSE()</f>
        <v>0</v>
      </c>
      <c r="L15" s="32" t="b">
        <f aca="false">FALSE()</f>
        <v>0</v>
      </c>
      <c r="M15" s="32" t="b">
        <f aca="false">FALSE()</f>
        <v>0</v>
      </c>
      <c r="N15" s="6" t="str">
        <f aca="false">IF(OR(AND(B15=2024,C15&gt;=43),AND(B15=2025,C15&lt;=13)),"Temporada 2024-25",IF(AND(B15=2025,C15&gt;=36,C15&lt;=42),"Sep-oct 2025","Resto del año"))</f>
        <v>Resto del año</v>
      </c>
    </row>
    <row r="16" customFormat="false" ht="15" hidden="false" customHeight="false" outlineLevel="0" collapsed="false">
      <c r="A16" s="7" t="s">
        <v>48</v>
      </c>
      <c r="B16" s="7" t="n">
        <v>2024</v>
      </c>
      <c r="C16" s="7" t="n">
        <v>15</v>
      </c>
      <c r="D16" s="7" t="n">
        <v>4</v>
      </c>
      <c r="E16" s="20" t="n">
        <v>15489</v>
      </c>
      <c r="F16" s="20" t="n">
        <v>15874</v>
      </c>
      <c r="G16" s="20" t="n">
        <v>37445</v>
      </c>
      <c r="H16" s="20" t="n">
        <v>39621</v>
      </c>
      <c r="I16" s="31" t="n">
        <v>0.6904</v>
      </c>
      <c r="J16" s="32" t="b">
        <f aca="false">FALSE()</f>
        <v>0</v>
      </c>
      <c r="K16" s="32" t="b">
        <f aca="false">FALSE()</f>
        <v>0</v>
      </c>
      <c r="L16" s="32" t="b">
        <f aca="false">FALSE()</f>
        <v>0</v>
      </c>
      <c r="M16" s="32" t="b">
        <f aca="false">FALSE()</f>
        <v>0</v>
      </c>
      <c r="N16" s="6" t="str">
        <f aca="false">IF(OR(AND(B16=2024,C16&gt;=43),AND(B16=2025,C16&lt;=13)),"Temporada 2024-25",IF(AND(B16=2025,C16&gt;=36,C16&lt;=42),"Sep-oct 2025","Resto del año"))</f>
        <v>Resto del año</v>
      </c>
    </row>
    <row r="17" customFormat="false" ht="15" hidden="false" customHeight="false" outlineLevel="0" collapsed="false">
      <c r="A17" s="7" t="s">
        <v>48</v>
      </c>
      <c r="B17" s="7" t="n">
        <v>2024</v>
      </c>
      <c r="C17" s="7" t="n">
        <v>16</v>
      </c>
      <c r="D17" s="7" t="n">
        <v>4</v>
      </c>
      <c r="E17" s="20" t="n">
        <v>14515</v>
      </c>
      <c r="F17" s="20" t="n">
        <v>15865</v>
      </c>
      <c r="G17" s="20" t="n">
        <v>41655</v>
      </c>
      <c r="H17" s="20" t="n">
        <v>41139</v>
      </c>
      <c r="I17" s="31" t="n">
        <v>0.6885</v>
      </c>
      <c r="J17" s="32" t="b">
        <f aca="false">FALSE()</f>
        <v>0</v>
      </c>
      <c r="K17" s="32" t="b">
        <f aca="false">FALSE()</f>
        <v>0</v>
      </c>
      <c r="L17" s="32" t="b">
        <f aca="false">FALSE()</f>
        <v>0</v>
      </c>
      <c r="M17" s="32" t="b">
        <f aca="false">FALSE()</f>
        <v>0</v>
      </c>
      <c r="N17" s="6" t="str">
        <f aca="false">IF(OR(AND(B17=2024,C17&gt;=43),AND(B17=2025,C17&lt;=13)),"Temporada 2024-25",IF(AND(B17=2025,C17&gt;=36,C17&lt;=42),"Sep-oct 2025","Resto del año"))</f>
        <v>Resto del año</v>
      </c>
    </row>
    <row r="18" customFormat="false" ht="15" hidden="false" customHeight="false" outlineLevel="0" collapsed="false">
      <c r="A18" s="7" t="s">
        <v>48</v>
      </c>
      <c r="B18" s="7" t="n">
        <v>2024</v>
      </c>
      <c r="C18" s="7" t="n">
        <v>17</v>
      </c>
      <c r="D18" s="7" t="n">
        <v>4</v>
      </c>
      <c r="E18" s="20" t="n">
        <v>17165</v>
      </c>
      <c r="F18" s="20" t="n">
        <v>16129</v>
      </c>
      <c r="G18" s="20" t="n">
        <v>39803</v>
      </c>
      <c r="H18" s="20" t="n">
        <v>40491</v>
      </c>
      <c r="I18" s="31" t="n">
        <v>0.6961</v>
      </c>
      <c r="J18" s="32" t="b">
        <f aca="false">FALSE()</f>
        <v>0</v>
      </c>
      <c r="K18" s="32" t="b">
        <f aca="false">FALSE()</f>
        <v>0</v>
      </c>
      <c r="L18" s="32" t="b">
        <f aca="false">FALSE()</f>
        <v>0</v>
      </c>
      <c r="M18" s="32" t="b">
        <f aca="false">FALSE()</f>
        <v>0</v>
      </c>
      <c r="N18" s="6" t="str">
        <f aca="false">IF(OR(AND(B18=2024,C18&gt;=43),AND(B18=2025,C18&lt;=13)),"Temporada 2024-25",IF(AND(B18=2025,C18&gt;=36,C18&lt;=42),"Sep-oct 2025","Resto del año"))</f>
        <v>Resto del año</v>
      </c>
    </row>
    <row r="19" customFormat="false" ht="15" hidden="false" customHeight="false" outlineLevel="0" collapsed="false">
      <c r="A19" s="7" t="s">
        <v>48</v>
      </c>
      <c r="B19" s="7" t="n">
        <v>2024</v>
      </c>
      <c r="C19" s="7" t="n">
        <v>18</v>
      </c>
      <c r="D19" s="7" t="n">
        <v>4</v>
      </c>
      <c r="E19" s="20" t="n">
        <v>15532</v>
      </c>
      <c r="F19" s="20" t="n">
        <v>14269</v>
      </c>
      <c r="G19" s="20" t="n">
        <v>40115</v>
      </c>
      <c r="H19" s="20" t="n">
        <v>39537</v>
      </c>
      <c r="I19" s="31" t="n">
        <v>0.6895</v>
      </c>
      <c r="J19" s="32" t="b">
        <f aca="false">FALSE()</f>
        <v>0</v>
      </c>
      <c r="K19" s="32" t="b">
        <f aca="false">FALSE()</f>
        <v>0</v>
      </c>
      <c r="L19" s="32" t="b">
        <f aca="false">FALSE()</f>
        <v>0</v>
      </c>
      <c r="M19" s="32" t="b">
        <f aca="false">FALSE()</f>
        <v>0</v>
      </c>
      <c r="N19" s="6" t="str">
        <f aca="false">IF(OR(AND(B19=2024,C19&gt;=43),AND(B19=2025,C19&lt;=13)),"Temporada 2024-25",IF(AND(B19=2025,C19&gt;=36,C19&lt;=42),"Sep-oct 2025","Resto del año"))</f>
        <v>Resto del año</v>
      </c>
    </row>
    <row r="20" customFormat="false" ht="15" hidden="false" customHeight="false" outlineLevel="0" collapsed="false">
      <c r="A20" s="7" t="s">
        <v>48</v>
      </c>
      <c r="B20" s="7" t="n">
        <v>2024</v>
      </c>
      <c r="C20" s="7" t="n">
        <v>19</v>
      </c>
      <c r="D20" s="7" t="n">
        <v>5</v>
      </c>
      <c r="E20" s="20" t="n">
        <v>14806</v>
      </c>
      <c r="F20" s="20" t="n">
        <v>16095</v>
      </c>
      <c r="G20" s="20" t="n">
        <v>39855</v>
      </c>
      <c r="H20" s="20" t="n">
        <v>40403</v>
      </c>
      <c r="I20" s="31" t="n">
        <v>0.6934</v>
      </c>
      <c r="J20" s="32" t="b">
        <f aca="false">FALSE()</f>
        <v>0</v>
      </c>
      <c r="K20" s="32" t="b">
        <f aca="false">FALSE()</f>
        <v>0</v>
      </c>
      <c r="L20" s="32" t="b">
        <f aca="false">FALSE()</f>
        <v>0</v>
      </c>
      <c r="M20" s="32" t="b">
        <f aca="false">FALSE()</f>
        <v>0</v>
      </c>
      <c r="N20" s="6" t="str">
        <f aca="false">IF(OR(AND(B20=2024,C20&gt;=43),AND(B20=2025,C20&lt;=13)),"Temporada 2024-25",IF(AND(B20=2025,C20&gt;=36,C20&lt;=42),"Sep-oct 2025","Resto del año"))</f>
        <v>Resto del año</v>
      </c>
    </row>
    <row r="21" customFormat="false" ht="15" hidden="false" customHeight="false" outlineLevel="0" collapsed="false">
      <c r="A21" s="7" t="s">
        <v>48</v>
      </c>
      <c r="B21" s="7" t="n">
        <v>2024</v>
      </c>
      <c r="C21" s="7" t="n">
        <v>20</v>
      </c>
      <c r="D21" s="7" t="n">
        <v>5</v>
      </c>
      <c r="E21" s="20" t="n">
        <v>16135</v>
      </c>
      <c r="F21" s="20" t="n">
        <v>16517</v>
      </c>
      <c r="G21" s="20" t="n">
        <v>41938</v>
      </c>
      <c r="H21" s="20" t="n">
        <v>39903</v>
      </c>
      <c r="I21" s="31" t="n">
        <v>0.7019</v>
      </c>
      <c r="J21" s="32" t="b">
        <f aca="false">FALSE()</f>
        <v>0</v>
      </c>
      <c r="K21" s="32" t="b">
        <f aca="false">FALSE()</f>
        <v>0</v>
      </c>
      <c r="L21" s="32" t="b">
        <f aca="false">FALSE()</f>
        <v>0</v>
      </c>
      <c r="M21" s="32" t="b">
        <f aca="false">FALSE()</f>
        <v>0</v>
      </c>
      <c r="N21" s="6" t="str">
        <f aca="false">IF(OR(AND(B21=2024,C21&gt;=43),AND(B21=2025,C21&lt;=13)),"Temporada 2024-25",IF(AND(B21=2025,C21&gt;=36,C21&lt;=42),"Sep-oct 2025","Resto del año"))</f>
        <v>Resto del año</v>
      </c>
    </row>
    <row r="22" customFormat="false" ht="15" hidden="false" customHeight="false" outlineLevel="0" collapsed="false">
      <c r="A22" s="7" t="s">
        <v>48</v>
      </c>
      <c r="B22" s="7" t="n">
        <v>2024</v>
      </c>
      <c r="C22" s="7" t="n">
        <v>21</v>
      </c>
      <c r="D22" s="7" t="n">
        <v>5</v>
      </c>
      <c r="E22" s="20" t="n">
        <v>15773</v>
      </c>
      <c r="F22" s="20" t="n">
        <v>15521</v>
      </c>
      <c r="G22" s="20" t="n">
        <v>42197</v>
      </c>
      <c r="H22" s="20" t="n">
        <v>40962</v>
      </c>
      <c r="I22" s="31" t="n">
        <v>0.7048</v>
      </c>
      <c r="J22" s="32" t="b">
        <f aca="false">FALSE()</f>
        <v>0</v>
      </c>
      <c r="K22" s="32" t="b">
        <f aca="false">FALSE()</f>
        <v>0</v>
      </c>
      <c r="L22" s="32" t="b">
        <f aca="false">FALSE()</f>
        <v>0</v>
      </c>
      <c r="M22" s="32" t="b">
        <f aca="false">FALSE()</f>
        <v>0</v>
      </c>
      <c r="N22" s="6" t="str">
        <f aca="false">IF(OR(AND(B22=2024,C22&gt;=43),AND(B22=2025,C22&lt;=13)),"Temporada 2024-25",IF(AND(B22=2025,C22&gt;=36,C22&lt;=42),"Sep-oct 2025","Resto del año"))</f>
        <v>Resto del año</v>
      </c>
    </row>
    <row r="23" customFormat="false" ht="15" hidden="false" customHeight="false" outlineLevel="0" collapsed="false">
      <c r="A23" s="7" t="s">
        <v>48</v>
      </c>
      <c r="B23" s="7" t="n">
        <v>2024</v>
      </c>
      <c r="C23" s="7" t="n">
        <v>22</v>
      </c>
      <c r="D23" s="7" t="n">
        <v>5</v>
      </c>
      <c r="E23" s="20" t="n">
        <v>16017</v>
      </c>
      <c r="F23" s="20" t="n">
        <v>15342</v>
      </c>
      <c r="G23" s="20" t="n">
        <v>39035</v>
      </c>
      <c r="H23" s="20" t="n">
        <v>40997</v>
      </c>
      <c r="I23" s="31" t="n">
        <v>0.7113</v>
      </c>
      <c r="J23" s="32" t="b">
        <f aca="false">FALSE()</f>
        <v>0</v>
      </c>
      <c r="K23" s="32" t="b">
        <f aca="false">FALSE()</f>
        <v>0</v>
      </c>
      <c r="L23" s="32" t="b">
        <f aca="false">FALSE()</f>
        <v>0</v>
      </c>
      <c r="M23" s="32" t="b">
        <f aca="false">FALSE()</f>
        <v>0</v>
      </c>
      <c r="N23" s="6" t="str">
        <f aca="false">IF(OR(AND(B23=2024,C23&gt;=43),AND(B23=2025,C23&lt;=13)),"Temporada 2024-25",IF(AND(B23=2025,C23&gt;=36,C23&lt;=42),"Sep-oct 2025","Resto del año"))</f>
        <v>Resto del año</v>
      </c>
    </row>
    <row r="24" customFormat="false" ht="15" hidden="false" customHeight="false" outlineLevel="0" collapsed="false">
      <c r="A24" s="7" t="s">
        <v>48</v>
      </c>
      <c r="B24" s="7" t="n">
        <v>2024</v>
      </c>
      <c r="C24" s="7" t="n">
        <v>23</v>
      </c>
      <c r="D24" s="7" t="n">
        <v>6</v>
      </c>
      <c r="E24" s="20" t="n">
        <v>16274</v>
      </c>
      <c r="F24" s="20" t="n">
        <v>16529</v>
      </c>
      <c r="G24" s="20" t="n">
        <v>42608</v>
      </c>
      <c r="H24" s="20" t="n">
        <v>41500</v>
      </c>
      <c r="I24" s="31" t="n">
        <v>0.7121</v>
      </c>
      <c r="J24" s="32" t="b">
        <f aca="false">FALSE()</f>
        <v>0</v>
      </c>
      <c r="K24" s="32" t="b">
        <f aca="false">FALSE()</f>
        <v>0</v>
      </c>
      <c r="L24" s="32" t="b">
        <f aca="false">FALSE()</f>
        <v>0</v>
      </c>
      <c r="M24" s="32" t="b">
        <f aca="false">FALSE()</f>
        <v>0</v>
      </c>
      <c r="N24" s="6" t="str">
        <f aca="false">IF(OR(AND(B24=2024,C24&gt;=43),AND(B24=2025,C24&lt;=13)),"Temporada 2024-25",IF(AND(B24=2025,C24&gt;=36,C24&lt;=42),"Sep-oct 2025","Resto del año"))</f>
        <v>Resto del año</v>
      </c>
    </row>
    <row r="25" customFormat="false" ht="15" hidden="false" customHeight="false" outlineLevel="0" collapsed="false">
      <c r="A25" s="7" t="s">
        <v>48</v>
      </c>
      <c r="B25" s="7" t="n">
        <v>2024</v>
      </c>
      <c r="C25" s="7" t="n">
        <v>24</v>
      </c>
      <c r="D25" s="7" t="n">
        <v>6</v>
      </c>
      <c r="E25" s="20" t="n">
        <v>16089</v>
      </c>
      <c r="F25" s="20" t="n">
        <v>15639</v>
      </c>
      <c r="G25" s="20" t="n">
        <v>40176</v>
      </c>
      <c r="H25" s="20" t="n">
        <v>40307</v>
      </c>
      <c r="I25" s="31" t="n">
        <v>0.7235</v>
      </c>
      <c r="J25" s="32" t="b">
        <f aca="false">FALSE()</f>
        <v>0</v>
      </c>
      <c r="K25" s="32" t="b">
        <f aca="false">FALSE()</f>
        <v>0</v>
      </c>
      <c r="L25" s="32" t="b">
        <f aca="false">FALSE()</f>
        <v>0</v>
      </c>
      <c r="M25" s="32" t="b">
        <f aca="false">FALSE()</f>
        <v>0</v>
      </c>
      <c r="N25" s="6" t="str">
        <f aca="false">IF(OR(AND(B25=2024,C25&gt;=43),AND(B25=2025,C25&lt;=13)),"Temporada 2024-25",IF(AND(B25=2025,C25&gt;=36,C25&lt;=42),"Sep-oct 2025","Resto del año"))</f>
        <v>Resto del año</v>
      </c>
    </row>
    <row r="26" customFormat="false" ht="15" hidden="false" customHeight="false" outlineLevel="0" collapsed="false">
      <c r="A26" s="7" t="s">
        <v>48</v>
      </c>
      <c r="B26" s="7" t="n">
        <v>2024</v>
      </c>
      <c r="C26" s="7" t="n">
        <v>25</v>
      </c>
      <c r="D26" s="7" t="n">
        <v>6</v>
      </c>
      <c r="E26" s="20" t="n">
        <v>16718</v>
      </c>
      <c r="F26" s="20" t="n">
        <v>16876</v>
      </c>
      <c r="G26" s="20" t="n">
        <v>44284</v>
      </c>
      <c r="H26" s="20" t="n">
        <v>43634</v>
      </c>
      <c r="I26" s="31" t="n">
        <v>0.7297</v>
      </c>
      <c r="J26" s="32" t="b">
        <f aca="false">FALSE()</f>
        <v>0</v>
      </c>
      <c r="K26" s="32" t="b">
        <f aca="false">FALSE()</f>
        <v>0</v>
      </c>
      <c r="L26" s="32" t="b">
        <f aca="false">FALSE()</f>
        <v>0</v>
      </c>
      <c r="M26" s="32" t="b">
        <f aca="false">FALSE()</f>
        <v>0</v>
      </c>
      <c r="N26" s="6" t="str">
        <f aca="false">IF(OR(AND(B26=2024,C26&gt;=43),AND(B26=2025,C26&lt;=13)),"Temporada 2024-25",IF(AND(B26=2025,C26&gt;=36,C26&lt;=42),"Sep-oct 2025","Resto del año"))</f>
        <v>Resto del año</v>
      </c>
    </row>
    <row r="27" customFormat="false" ht="15" hidden="false" customHeight="false" outlineLevel="0" collapsed="false">
      <c r="A27" s="7" t="s">
        <v>48</v>
      </c>
      <c r="B27" s="7" t="n">
        <v>2024</v>
      </c>
      <c r="C27" s="7" t="n">
        <v>26</v>
      </c>
      <c r="D27" s="7" t="n">
        <v>6</v>
      </c>
      <c r="E27" s="20" t="n">
        <v>15393</v>
      </c>
      <c r="F27" s="20" t="n">
        <v>16079</v>
      </c>
      <c r="G27" s="20" t="n">
        <v>43379</v>
      </c>
      <c r="H27" s="20" t="n">
        <v>40657</v>
      </c>
      <c r="I27" s="31" t="n">
        <v>0.7248</v>
      </c>
      <c r="J27" s="32" t="b">
        <f aca="false">FALSE()</f>
        <v>0</v>
      </c>
      <c r="K27" s="32" t="b">
        <f aca="false">FALSE()</f>
        <v>0</v>
      </c>
      <c r="L27" s="32" t="b">
        <f aca="false">FALSE()</f>
        <v>0</v>
      </c>
      <c r="M27" s="32" t="b">
        <f aca="false">FALSE()</f>
        <v>0</v>
      </c>
      <c r="N27" s="6" t="str">
        <f aca="false">IF(OR(AND(B27=2024,C27&gt;=43),AND(B27=2025,C27&lt;=13)),"Temporada 2024-25",IF(AND(B27=2025,C27&gt;=36,C27&lt;=42),"Sep-oct 2025","Resto del año"))</f>
        <v>Resto del año</v>
      </c>
    </row>
    <row r="28" customFormat="false" ht="15" hidden="false" customHeight="false" outlineLevel="0" collapsed="false">
      <c r="A28" s="7" t="s">
        <v>48</v>
      </c>
      <c r="B28" s="7" t="n">
        <v>2024</v>
      </c>
      <c r="C28" s="7" t="n">
        <v>27</v>
      </c>
      <c r="D28" s="7" t="n">
        <v>7</v>
      </c>
      <c r="E28" s="20" t="n">
        <v>15879</v>
      </c>
      <c r="F28" s="20" t="n">
        <v>16652</v>
      </c>
      <c r="G28" s="20" t="n">
        <v>43239</v>
      </c>
      <c r="H28" s="20" t="n">
        <v>42661</v>
      </c>
      <c r="I28" s="31" t="n">
        <v>0.7194</v>
      </c>
      <c r="J28" s="32" t="b">
        <f aca="false">FALSE()</f>
        <v>0</v>
      </c>
      <c r="K28" s="32" t="b">
        <f aca="false">FALSE()</f>
        <v>0</v>
      </c>
      <c r="L28" s="32" t="b">
        <f aca="false">FALSE()</f>
        <v>0</v>
      </c>
      <c r="M28" s="32" t="b">
        <f aca="false">FALSE()</f>
        <v>0</v>
      </c>
      <c r="N28" s="6" t="str">
        <f aca="false">IF(OR(AND(B28=2024,C28&gt;=43),AND(B28=2025,C28&lt;=13)),"Temporada 2024-25",IF(AND(B28=2025,C28&gt;=36,C28&lt;=42),"Sep-oct 2025","Resto del año"))</f>
        <v>Resto del año</v>
      </c>
    </row>
    <row r="29" customFormat="false" ht="15" hidden="false" customHeight="false" outlineLevel="0" collapsed="false">
      <c r="A29" s="7" t="s">
        <v>48</v>
      </c>
      <c r="B29" s="7" t="n">
        <v>2024</v>
      </c>
      <c r="C29" s="7" t="n">
        <v>28</v>
      </c>
      <c r="D29" s="7" t="n">
        <v>7</v>
      </c>
      <c r="E29" s="20" t="n">
        <v>14476</v>
      </c>
      <c r="F29" s="20" t="n">
        <v>16072</v>
      </c>
      <c r="G29" s="20" t="n">
        <v>41321</v>
      </c>
      <c r="H29" s="20" t="n">
        <v>40625</v>
      </c>
      <c r="I29" s="31" t="n">
        <v>0.7204</v>
      </c>
      <c r="J29" s="32" t="b">
        <f aca="false">FALSE()</f>
        <v>0</v>
      </c>
      <c r="K29" s="32" t="b">
        <f aca="false">FALSE()</f>
        <v>0</v>
      </c>
      <c r="L29" s="32" t="b">
        <f aca="false">FALSE()</f>
        <v>0</v>
      </c>
      <c r="M29" s="32" t="b">
        <f aca="false">FALSE()</f>
        <v>0</v>
      </c>
      <c r="N29" s="6" t="str">
        <f aca="false">IF(OR(AND(B29=2024,C29&gt;=43),AND(B29=2025,C29&lt;=13)),"Temporada 2024-25",IF(AND(B29=2025,C29&gt;=36,C29&lt;=42),"Sep-oct 2025","Resto del año"))</f>
        <v>Resto del año</v>
      </c>
    </row>
    <row r="30" customFormat="false" ht="15" hidden="false" customHeight="false" outlineLevel="0" collapsed="false">
      <c r="A30" s="7" t="s">
        <v>48</v>
      </c>
      <c r="B30" s="7" t="n">
        <v>2024</v>
      </c>
      <c r="C30" s="7" t="n">
        <v>29</v>
      </c>
      <c r="D30" s="7" t="n">
        <v>7</v>
      </c>
      <c r="E30" s="20" t="n">
        <v>14593</v>
      </c>
      <c r="F30" s="20" t="n">
        <v>15907</v>
      </c>
      <c r="G30" s="20" t="n">
        <v>40441</v>
      </c>
      <c r="H30" s="20" t="n">
        <v>40679</v>
      </c>
      <c r="I30" s="31" t="n">
        <v>0.7286</v>
      </c>
      <c r="J30" s="32" t="b">
        <f aca="false">FALSE()</f>
        <v>0</v>
      </c>
      <c r="K30" s="32" t="b">
        <f aca="false">FALSE()</f>
        <v>0</v>
      </c>
      <c r="L30" s="32" t="b">
        <f aca="false">FALSE()</f>
        <v>0</v>
      </c>
      <c r="M30" s="32" t="b">
        <f aca="false">FALSE()</f>
        <v>0</v>
      </c>
      <c r="N30" s="6" t="str">
        <f aca="false">IF(OR(AND(B30=2024,C30&gt;=43),AND(B30=2025,C30&lt;=13)),"Temporada 2024-25",IF(AND(B30=2025,C30&gt;=36,C30&lt;=42),"Sep-oct 2025","Resto del año"))</f>
        <v>Resto del año</v>
      </c>
    </row>
    <row r="31" customFormat="false" ht="15" hidden="false" customHeight="false" outlineLevel="0" collapsed="false">
      <c r="A31" s="7" t="s">
        <v>48</v>
      </c>
      <c r="B31" s="7" t="n">
        <v>2024</v>
      </c>
      <c r="C31" s="7" t="n">
        <v>30</v>
      </c>
      <c r="D31" s="7" t="n">
        <v>7</v>
      </c>
      <c r="E31" s="20" t="n">
        <v>14765</v>
      </c>
      <c r="F31" s="20" t="n">
        <v>15646</v>
      </c>
      <c r="G31" s="20" t="n">
        <v>42099</v>
      </c>
      <c r="H31" s="20" t="n">
        <v>39314</v>
      </c>
      <c r="I31" s="31" t="n">
        <v>0.7304</v>
      </c>
      <c r="J31" s="32" t="b">
        <f aca="false">FALSE()</f>
        <v>0</v>
      </c>
      <c r="K31" s="32" t="b">
        <f aca="false">FALSE()</f>
        <v>0</v>
      </c>
      <c r="L31" s="32" t="b">
        <f aca="false">FALSE()</f>
        <v>0</v>
      </c>
      <c r="M31" s="32" t="b">
        <f aca="false">FALSE()</f>
        <v>0</v>
      </c>
      <c r="N31" s="6" t="str">
        <f aca="false">IF(OR(AND(B31=2024,C31&gt;=43),AND(B31=2025,C31&lt;=13)),"Temporada 2024-25",IF(AND(B31=2025,C31&gt;=36,C31&lt;=42),"Sep-oct 2025","Resto del año"))</f>
        <v>Resto del año</v>
      </c>
    </row>
    <row r="32" customFormat="false" ht="15" hidden="false" customHeight="false" outlineLevel="0" collapsed="false">
      <c r="A32" s="7" t="s">
        <v>48</v>
      </c>
      <c r="B32" s="7" t="n">
        <v>2024</v>
      </c>
      <c r="C32" s="7" t="n">
        <v>31</v>
      </c>
      <c r="D32" s="7" t="n">
        <v>7</v>
      </c>
      <c r="E32" s="20" t="n">
        <v>13629</v>
      </c>
      <c r="F32" s="20" t="n">
        <v>14500</v>
      </c>
      <c r="G32" s="20" t="n">
        <v>41685</v>
      </c>
      <c r="H32" s="20" t="n">
        <v>39048</v>
      </c>
      <c r="I32" s="31" t="n">
        <v>0.7327</v>
      </c>
      <c r="J32" s="32" t="b">
        <f aca="false">FALSE()</f>
        <v>0</v>
      </c>
      <c r="K32" s="32" t="b">
        <f aca="false">FALSE()</f>
        <v>0</v>
      </c>
      <c r="L32" s="32" t="b">
        <f aca="false">FALSE()</f>
        <v>0</v>
      </c>
      <c r="M32" s="32" t="b">
        <f aca="false">FALSE()</f>
        <v>0</v>
      </c>
      <c r="N32" s="6" t="str">
        <f aca="false">IF(OR(AND(B32=2024,C32&gt;=43),AND(B32=2025,C32&lt;=13)),"Temporada 2024-25",IF(AND(B32=2025,C32&gt;=36,C32&lt;=42),"Sep-oct 2025","Resto del año"))</f>
        <v>Resto del año</v>
      </c>
    </row>
    <row r="33" customFormat="false" ht="15" hidden="false" customHeight="false" outlineLevel="0" collapsed="false">
      <c r="A33" s="7" t="s">
        <v>48</v>
      </c>
      <c r="B33" s="7" t="n">
        <v>2024</v>
      </c>
      <c r="C33" s="7" t="n">
        <v>32</v>
      </c>
      <c r="D33" s="7" t="n">
        <v>8</v>
      </c>
      <c r="E33" s="20" t="n">
        <v>15633</v>
      </c>
      <c r="F33" s="20" t="n">
        <v>15353</v>
      </c>
      <c r="G33" s="20" t="n">
        <v>41985</v>
      </c>
      <c r="H33" s="20" t="n">
        <v>39090</v>
      </c>
      <c r="I33" s="31" t="n">
        <v>0.7325</v>
      </c>
      <c r="J33" s="32" t="b">
        <f aca="false">FALSE()</f>
        <v>0</v>
      </c>
      <c r="K33" s="32" t="b">
        <f aca="false">FALSE()</f>
        <v>0</v>
      </c>
      <c r="L33" s="32" t="b">
        <f aca="false">FALSE()</f>
        <v>0</v>
      </c>
      <c r="M33" s="32" t="b">
        <f aca="false">FALSE()</f>
        <v>0</v>
      </c>
      <c r="N33" s="6" t="str">
        <f aca="false">IF(OR(AND(B33=2024,C33&gt;=43),AND(B33=2025,C33&lt;=13)),"Temporada 2024-25",IF(AND(B33=2025,C33&gt;=36,C33&lt;=42),"Sep-oct 2025","Resto del año"))</f>
        <v>Resto del año</v>
      </c>
    </row>
    <row r="34" customFormat="false" ht="15" hidden="false" customHeight="false" outlineLevel="0" collapsed="false">
      <c r="A34" s="7" t="s">
        <v>48</v>
      </c>
      <c r="B34" s="7" t="n">
        <v>2024</v>
      </c>
      <c r="C34" s="7" t="n">
        <v>33</v>
      </c>
      <c r="D34" s="7" t="n">
        <v>8</v>
      </c>
      <c r="E34" s="20" t="n">
        <v>15836</v>
      </c>
      <c r="F34" s="20" t="n">
        <v>16671</v>
      </c>
      <c r="G34" s="20" t="n">
        <v>44916</v>
      </c>
      <c r="H34" s="20" t="n">
        <v>42315</v>
      </c>
      <c r="I34" s="31" t="n">
        <v>0.7415</v>
      </c>
      <c r="J34" s="32" t="b">
        <f aca="false">FALSE()</f>
        <v>0</v>
      </c>
      <c r="K34" s="32" t="b">
        <f aca="false">FALSE()</f>
        <v>0</v>
      </c>
      <c r="L34" s="32" t="b">
        <f aca="false">FALSE()</f>
        <v>0</v>
      </c>
      <c r="M34" s="32" t="b">
        <f aca="false">FALSE()</f>
        <v>0</v>
      </c>
      <c r="N34" s="6" t="str">
        <f aca="false">IF(OR(AND(B34=2024,C34&gt;=43),AND(B34=2025,C34&lt;=13)),"Temporada 2024-25",IF(AND(B34=2025,C34&gt;=36,C34&lt;=42),"Sep-oct 2025","Resto del año"))</f>
        <v>Resto del año</v>
      </c>
    </row>
    <row r="35" customFormat="false" ht="15" hidden="false" customHeight="false" outlineLevel="0" collapsed="false">
      <c r="A35" s="7" t="s">
        <v>48</v>
      </c>
      <c r="B35" s="7" t="n">
        <v>2024</v>
      </c>
      <c r="C35" s="7" t="n">
        <v>34</v>
      </c>
      <c r="D35" s="7" t="n">
        <v>8</v>
      </c>
      <c r="E35" s="20" t="n">
        <v>13483</v>
      </c>
      <c r="F35" s="20" t="n">
        <v>14687</v>
      </c>
      <c r="G35" s="20" t="n">
        <v>38358</v>
      </c>
      <c r="H35" s="20" t="n">
        <v>38611</v>
      </c>
      <c r="I35" s="31" t="n">
        <v>0.7372</v>
      </c>
      <c r="J35" s="32" t="b">
        <f aca="false">FALSE()</f>
        <v>0</v>
      </c>
      <c r="K35" s="32" t="b">
        <f aca="false">FALSE()</f>
        <v>0</v>
      </c>
      <c r="L35" s="32" t="b">
        <f aca="false">FALSE()</f>
        <v>0</v>
      </c>
      <c r="M35" s="32" t="b">
        <f aca="false">FALSE()</f>
        <v>0</v>
      </c>
      <c r="N35" s="6" t="str">
        <f aca="false">IF(OR(AND(B35=2024,C35&gt;=43),AND(B35=2025,C35&lt;=13)),"Temporada 2024-25",IF(AND(B35=2025,C35&gt;=36,C35&lt;=42),"Sep-oct 2025","Resto del año"))</f>
        <v>Resto del año</v>
      </c>
    </row>
    <row r="36" customFormat="false" ht="15" hidden="false" customHeight="false" outlineLevel="0" collapsed="false">
      <c r="A36" s="7" t="s">
        <v>48</v>
      </c>
      <c r="B36" s="7" t="n">
        <v>2024</v>
      </c>
      <c r="C36" s="7" t="n">
        <v>35</v>
      </c>
      <c r="D36" s="7" t="n">
        <v>8</v>
      </c>
      <c r="E36" s="20" t="n">
        <v>12304</v>
      </c>
      <c r="F36" s="20" t="n">
        <v>13947</v>
      </c>
      <c r="G36" s="20" t="n">
        <v>36180</v>
      </c>
      <c r="H36" s="20" t="n">
        <v>36431</v>
      </c>
      <c r="I36" s="31" t="n">
        <v>0.7363</v>
      </c>
      <c r="J36" s="32" t="b">
        <f aca="false">FALSE()</f>
        <v>0</v>
      </c>
      <c r="K36" s="32" t="b">
        <f aca="false">FALSE()</f>
        <v>0</v>
      </c>
      <c r="L36" s="32" t="b">
        <f aca="false">FALSE()</f>
        <v>0</v>
      </c>
      <c r="M36" s="32" t="b">
        <f aca="false">FALSE()</f>
        <v>0</v>
      </c>
      <c r="N36" s="6" t="str">
        <f aca="false">IF(OR(AND(B36=2024,C36&gt;=43),AND(B36=2025,C36&lt;=13)),"Temporada 2024-25",IF(AND(B36=2025,C36&gt;=36,C36&lt;=42),"Sep-oct 2025","Resto del año"))</f>
        <v>Resto del año</v>
      </c>
    </row>
    <row r="37" customFormat="false" ht="15" hidden="false" customHeight="false" outlineLevel="0" collapsed="false">
      <c r="A37" s="7" t="s">
        <v>48</v>
      </c>
      <c r="B37" s="7" t="n">
        <v>2024</v>
      </c>
      <c r="C37" s="7" t="n">
        <v>36</v>
      </c>
      <c r="D37" s="7" t="n">
        <v>9</v>
      </c>
      <c r="E37" s="20" t="n">
        <v>15414</v>
      </c>
      <c r="F37" s="20" t="n">
        <v>15705</v>
      </c>
      <c r="G37" s="20" t="n">
        <v>43327</v>
      </c>
      <c r="H37" s="20" t="n">
        <v>41706</v>
      </c>
      <c r="I37" s="31" t="n">
        <v>0.7293</v>
      </c>
      <c r="J37" s="32" t="b">
        <f aca="false">FALSE()</f>
        <v>0</v>
      </c>
      <c r="K37" s="32" t="b">
        <f aca="false">FALSE()</f>
        <v>0</v>
      </c>
      <c r="L37" s="32" t="b">
        <f aca="false">FALSE()</f>
        <v>0</v>
      </c>
      <c r="M37" s="32" t="b">
        <f aca="false">FALSE()</f>
        <v>0</v>
      </c>
      <c r="N37" s="6" t="str">
        <f aca="false">IF(OR(AND(B37=2024,C37&gt;=43),AND(B37=2025,C37&lt;=13)),"Temporada 2024-25",IF(AND(B37=2025,C37&gt;=36,C37&lt;=42),"Sep-oct 2025","Resto del año"))</f>
        <v>Resto del año</v>
      </c>
    </row>
    <row r="38" customFormat="false" ht="15" hidden="false" customHeight="false" outlineLevel="0" collapsed="false">
      <c r="A38" s="7" t="s">
        <v>48</v>
      </c>
      <c r="B38" s="7" t="n">
        <v>2024</v>
      </c>
      <c r="C38" s="7" t="n">
        <v>37</v>
      </c>
      <c r="D38" s="7" t="n">
        <v>9</v>
      </c>
      <c r="E38" s="20" t="n">
        <v>17668</v>
      </c>
      <c r="F38" s="20" t="n">
        <v>15771</v>
      </c>
      <c r="G38" s="20" t="n">
        <v>43748</v>
      </c>
      <c r="H38" s="20" t="n">
        <v>42502</v>
      </c>
      <c r="I38" s="31" t="n">
        <v>0.7233</v>
      </c>
      <c r="J38" s="32" t="b">
        <f aca="false">FALSE()</f>
        <v>0</v>
      </c>
      <c r="K38" s="32" t="b">
        <f aca="false">FALSE()</f>
        <v>0</v>
      </c>
      <c r="L38" s="32" t="b">
        <f aca="false">FALSE()</f>
        <v>0</v>
      </c>
      <c r="M38" s="32" t="b">
        <f aca="false">FALSE()</f>
        <v>0</v>
      </c>
      <c r="N38" s="6" t="str">
        <f aca="false">IF(OR(AND(B38=2024,C38&gt;=43),AND(B38=2025,C38&lt;=13)),"Temporada 2024-25",IF(AND(B38=2025,C38&gt;=36,C38&lt;=42),"Sep-oct 2025","Resto del año"))</f>
        <v>Resto del año</v>
      </c>
    </row>
    <row r="39" customFormat="false" ht="15" hidden="false" customHeight="false" outlineLevel="0" collapsed="false">
      <c r="A39" s="7" t="s">
        <v>48</v>
      </c>
      <c r="B39" s="7" t="n">
        <v>2024</v>
      </c>
      <c r="C39" s="7" t="n">
        <v>38</v>
      </c>
      <c r="D39" s="7" t="n">
        <v>9</v>
      </c>
      <c r="E39" s="20" t="n">
        <v>13071</v>
      </c>
      <c r="F39" s="20" t="n">
        <v>14586</v>
      </c>
      <c r="G39" s="20" t="n">
        <v>39728</v>
      </c>
      <c r="H39" s="20" t="n">
        <v>38806</v>
      </c>
      <c r="I39" s="31" t="n">
        <v>0.7191</v>
      </c>
      <c r="J39" s="32" t="b">
        <f aca="false">FALSE()</f>
        <v>0</v>
      </c>
      <c r="K39" s="32" t="b">
        <f aca="false">FALSE()</f>
        <v>0</v>
      </c>
      <c r="L39" s="32" t="b">
        <f aca="false">FALSE()</f>
        <v>0</v>
      </c>
      <c r="M39" s="32" t="b">
        <f aca="false">FALSE()</f>
        <v>0</v>
      </c>
      <c r="N39" s="6" t="str">
        <f aca="false">IF(OR(AND(B39=2024,C39&gt;=43),AND(B39=2025,C39&lt;=13)),"Temporada 2024-25",IF(AND(B39=2025,C39&gt;=36,C39&lt;=42),"Sep-oct 2025","Resto del año"))</f>
        <v>Resto del año</v>
      </c>
    </row>
    <row r="40" customFormat="false" ht="15" hidden="false" customHeight="false" outlineLevel="0" collapsed="false">
      <c r="A40" s="7" t="s">
        <v>48</v>
      </c>
      <c r="B40" s="7" t="n">
        <v>2024</v>
      </c>
      <c r="C40" s="7" t="n">
        <v>39</v>
      </c>
      <c r="D40" s="7" t="n">
        <v>9</v>
      </c>
      <c r="E40" s="20" t="n">
        <v>13704</v>
      </c>
      <c r="F40" s="20" t="n">
        <v>14808</v>
      </c>
      <c r="G40" s="20" t="n">
        <v>37479</v>
      </c>
      <c r="H40" s="20" t="n">
        <v>38262</v>
      </c>
      <c r="I40" s="31" t="n">
        <v>0.7183</v>
      </c>
      <c r="J40" s="32" t="b">
        <f aca="false">FALSE()</f>
        <v>0</v>
      </c>
      <c r="K40" s="32" t="b">
        <f aca="false">FALSE()</f>
        <v>0</v>
      </c>
      <c r="L40" s="32" t="b">
        <f aca="false">FALSE()</f>
        <v>0</v>
      </c>
      <c r="M40" s="32" t="b">
        <f aca="false">FALSE()</f>
        <v>0</v>
      </c>
      <c r="N40" s="6" t="str">
        <f aca="false">IF(OR(AND(B40=2024,C40&gt;=43),AND(B40=2025,C40&lt;=13)),"Temporada 2024-25",IF(AND(B40=2025,C40&gt;=36,C40&lt;=42),"Sep-oct 2025","Resto del año"))</f>
        <v>Resto del año</v>
      </c>
    </row>
    <row r="41" customFormat="false" ht="15" hidden="false" customHeight="false" outlineLevel="0" collapsed="false">
      <c r="A41" s="7" t="s">
        <v>48</v>
      </c>
      <c r="B41" s="7" t="n">
        <v>2024</v>
      </c>
      <c r="C41" s="7" t="n">
        <v>40</v>
      </c>
      <c r="D41" s="7" t="n">
        <v>9</v>
      </c>
      <c r="E41" s="20" t="n">
        <v>12726</v>
      </c>
      <c r="F41" s="20" t="n">
        <v>15051</v>
      </c>
      <c r="G41" s="20" t="n">
        <v>42256</v>
      </c>
      <c r="H41" s="20" t="n">
        <v>40220</v>
      </c>
      <c r="I41" s="31" t="n">
        <v>0.7204</v>
      </c>
      <c r="J41" s="32" t="b">
        <f aca="false">FALSE()</f>
        <v>0</v>
      </c>
      <c r="K41" s="32" t="b">
        <f aca="false">FALSE()</f>
        <v>0</v>
      </c>
      <c r="L41" s="32" t="b">
        <f aca="false">FALSE()</f>
        <v>0</v>
      </c>
      <c r="M41" s="32" t="b">
        <f aca="false">FALSE()</f>
        <v>0</v>
      </c>
      <c r="N41" s="6" t="str">
        <f aca="false">IF(OR(AND(B41=2024,C41&gt;=43),AND(B41=2025,C41&lt;=13)),"Temporada 2024-25",IF(AND(B41=2025,C41&gt;=36,C41&lt;=42),"Sep-oct 2025","Resto del año"))</f>
        <v>Resto del año</v>
      </c>
    </row>
    <row r="42" customFormat="false" ht="15" hidden="false" customHeight="false" outlineLevel="0" collapsed="false">
      <c r="A42" s="7" t="s">
        <v>48</v>
      </c>
      <c r="B42" s="7" t="n">
        <v>2024</v>
      </c>
      <c r="C42" s="7" t="n">
        <v>41</v>
      </c>
      <c r="D42" s="7" t="n">
        <v>10</v>
      </c>
      <c r="E42" s="20" t="n">
        <v>12254</v>
      </c>
      <c r="F42" s="20" t="n">
        <v>15441</v>
      </c>
      <c r="G42" s="20" t="n">
        <v>41251</v>
      </c>
      <c r="H42" s="20" t="n">
        <v>39010</v>
      </c>
      <c r="I42" s="31" t="n">
        <v>0.7347</v>
      </c>
      <c r="J42" s="32" t="b">
        <f aca="false">FALSE()</f>
        <v>0</v>
      </c>
      <c r="K42" s="32" t="b">
        <f aca="false">FALSE()</f>
        <v>0</v>
      </c>
      <c r="L42" s="32" t="b">
        <f aca="false">FALSE()</f>
        <v>0</v>
      </c>
      <c r="M42" s="32" t="b">
        <f aca="false">FALSE()</f>
        <v>0</v>
      </c>
      <c r="N42" s="6" t="str">
        <f aca="false">IF(OR(AND(B42=2024,C42&gt;=43),AND(B42=2025,C42&lt;=13)),"Temporada 2024-25",IF(AND(B42=2025,C42&gt;=36,C42&lt;=42),"Sep-oct 2025","Resto del año"))</f>
        <v>Resto del año</v>
      </c>
    </row>
    <row r="43" customFormat="false" ht="15" hidden="false" customHeight="false" outlineLevel="0" collapsed="false">
      <c r="A43" s="7" t="s">
        <v>48</v>
      </c>
      <c r="B43" s="7" t="n">
        <v>2024</v>
      </c>
      <c r="C43" s="7" t="n">
        <v>42</v>
      </c>
      <c r="D43" s="7" t="n">
        <v>10</v>
      </c>
      <c r="E43" s="20" t="n">
        <v>13491</v>
      </c>
      <c r="F43" s="20" t="n">
        <v>16012</v>
      </c>
      <c r="G43" s="20" t="n">
        <v>41443</v>
      </c>
      <c r="H43" s="20" t="n">
        <v>41364</v>
      </c>
      <c r="I43" s="31" t="n">
        <v>0.7329</v>
      </c>
      <c r="J43" s="32" t="b">
        <f aca="false">FALSE()</f>
        <v>0</v>
      </c>
      <c r="K43" s="32" t="b">
        <f aca="false">FALSE()</f>
        <v>0</v>
      </c>
      <c r="L43" s="32" t="b">
        <f aca="false">FALSE()</f>
        <v>0</v>
      </c>
      <c r="M43" s="32" t="b">
        <f aca="false">FALSE()</f>
        <v>0</v>
      </c>
      <c r="N43" s="6" t="str">
        <f aca="false">IF(OR(AND(B43=2024,C43&gt;=43),AND(B43=2025,C43&lt;=13)),"Temporada 2024-25",IF(AND(B43=2025,C43&gt;=36,C43&lt;=42),"Sep-oct 2025","Resto del año"))</f>
        <v>Resto del año</v>
      </c>
    </row>
    <row r="44" customFormat="false" ht="15" hidden="false" customHeight="false" outlineLevel="0" collapsed="false">
      <c r="A44" s="7" t="s">
        <v>48</v>
      </c>
      <c r="B44" s="7" t="n">
        <v>2024</v>
      </c>
      <c r="C44" s="7" t="n">
        <v>43</v>
      </c>
      <c r="D44" s="7" t="n">
        <v>10</v>
      </c>
      <c r="E44" s="20" t="n">
        <v>12063</v>
      </c>
      <c r="F44" s="20" t="n">
        <v>15616</v>
      </c>
      <c r="G44" s="20" t="n">
        <v>36983</v>
      </c>
      <c r="H44" s="20" t="n">
        <v>37773</v>
      </c>
      <c r="I44" s="31" t="n">
        <v>0.7459</v>
      </c>
      <c r="J44" s="32" t="b">
        <f aca="false">FALSE()</f>
        <v>0</v>
      </c>
      <c r="K44" s="32" t="b">
        <f aca="false">FALSE()</f>
        <v>0</v>
      </c>
      <c r="L44" s="32" t="b">
        <f aca="false">FALSE()</f>
        <v>0</v>
      </c>
      <c r="M44" s="32" t="b">
        <f aca="false">FALSE()</f>
        <v>0</v>
      </c>
      <c r="N44" s="6" t="str">
        <f aca="false">IF(OR(AND(B44=2024,C44&gt;=43),AND(B44=2025,C44&lt;=13)),"Temporada 2024-25",IF(AND(B44=2025,C44&gt;=36,C44&lt;=42),"Sep-oct 2025","Resto del año"))</f>
        <v>Temporada 2024-25</v>
      </c>
    </row>
    <row r="45" customFormat="false" ht="15" hidden="false" customHeight="false" outlineLevel="0" collapsed="false">
      <c r="A45" s="7" t="s">
        <v>48</v>
      </c>
      <c r="B45" s="7" t="n">
        <v>2024</v>
      </c>
      <c r="C45" s="7" t="n">
        <v>44</v>
      </c>
      <c r="D45" s="7" t="n">
        <v>10</v>
      </c>
      <c r="E45" s="20" t="n">
        <v>17276</v>
      </c>
      <c r="F45" s="20" t="n">
        <v>20784</v>
      </c>
      <c r="G45" s="20" t="n">
        <v>37551</v>
      </c>
      <c r="H45" s="20" t="n">
        <v>39193</v>
      </c>
      <c r="I45" s="31" t="n">
        <v>0.7976</v>
      </c>
      <c r="J45" s="32" t="b">
        <f aca="false">FALSE()</f>
        <v>0</v>
      </c>
      <c r="K45" s="32" t="b">
        <f aca="false">FALSE()</f>
        <v>0</v>
      </c>
      <c r="L45" s="32" t="b">
        <f aca="false">FALSE()</f>
        <v>0</v>
      </c>
      <c r="M45" s="32" t="b">
        <f aca="false">FALSE()</f>
        <v>0</v>
      </c>
      <c r="N45" s="6" t="str">
        <f aca="false">IF(OR(AND(B45=2024,C45&gt;=43),AND(B45=2025,C45&lt;=13)),"Temporada 2024-25",IF(AND(B45=2025,C45&gt;=36,C45&lt;=42),"Sep-oct 2025","Resto del año"))</f>
        <v>Temporada 2024-25</v>
      </c>
    </row>
    <row r="46" customFormat="false" ht="15" hidden="false" customHeight="false" outlineLevel="0" collapsed="false">
      <c r="A46" s="7" t="s">
        <v>48</v>
      </c>
      <c r="B46" s="7" t="n">
        <v>2024</v>
      </c>
      <c r="C46" s="7" t="n">
        <v>45</v>
      </c>
      <c r="D46" s="7" t="n">
        <v>11</v>
      </c>
      <c r="E46" s="20" t="n">
        <v>20011</v>
      </c>
      <c r="F46" s="20" t="n">
        <v>23271</v>
      </c>
      <c r="G46" s="20" t="n">
        <v>37925</v>
      </c>
      <c r="H46" s="20" t="n">
        <v>38211</v>
      </c>
      <c r="I46" s="31" t="n">
        <v>0.8508</v>
      </c>
      <c r="J46" s="32" t="b">
        <f aca="false">FALSE()</f>
        <v>0</v>
      </c>
      <c r="K46" s="32" t="b">
        <f aca="false">FALSE()</f>
        <v>0</v>
      </c>
      <c r="L46" s="32" t="b">
        <f aca="false">FALSE()</f>
        <v>0</v>
      </c>
      <c r="M46" s="32" t="b">
        <f aca="false">FALSE()</f>
        <v>0</v>
      </c>
      <c r="N46" s="6" t="str">
        <f aca="false">IF(OR(AND(B46=2024,C46&gt;=43),AND(B46=2025,C46&lt;=13)),"Temporada 2024-25",IF(AND(B46=2025,C46&gt;=36,C46&lt;=42),"Sep-oct 2025","Resto del año"))</f>
        <v>Temporada 2024-25</v>
      </c>
    </row>
    <row r="47" customFormat="false" ht="15" hidden="false" customHeight="false" outlineLevel="0" collapsed="false">
      <c r="A47" s="7" t="s">
        <v>48</v>
      </c>
      <c r="B47" s="7" t="n">
        <v>2024</v>
      </c>
      <c r="C47" s="7" t="n">
        <v>46</v>
      </c>
      <c r="D47" s="7" t="n">
        <v>11</v>
      </c>
      <c r="E47" s="20" t="n">
        <v>18196</v>
      </c>
      <c r="F47" s="20" t="n">
        <v>23454</v>
      </c>
      <c r="G47" s="20" t="n">
        <v>37843</v>
      </c>
      <c r="H47" s="20" t="n">
        <v>35696</v>
      </c>
      <c r="I47" s="31" t="n">
        <v>0.9186</v>
      </c>
      <c r="J47" s="32" t="b">
        <f aca="false">FALSE()</f>
        <v>0</v>
      </c>
      <c r="K47" s="32" t="b">
        <f aca="false">FALSE()</f>
        <v>0</v>
      </c>
      <c r="L47" s="32" t="b">
        <f aca="false">FALSE()</f>
        <v>0</v>
      </c>
      <c r="M47" s="32" t="b">
        <f aca="false">FALSE()</f>
        <v>0</v>
      </c>
      <c r="N47" s="6" t="str">
        <f aca="false">IF(OR(AND(B47=2024,C47&gt;=43),AND(B47=2025,C47&lt;=13)),"Temporada 2024-25",IF(AND(B47=2025,C47&gt;=36,C47&lt;=42),"Sep-oct 2025","Resto del año"))</f>
        <v>Temporada 2024-25</v>
      </c>
    </row>
    <row r="48" customFormat="false" ht="15" hidden="false" customHeight="false" outlineLevel="0" collapsed="false">
      <c r="A48" s="7" t="s">
        <v>48</v>
      </c>
      <c r="B48" s="7" t="n">
        <v>2024</v>
      </c>
      <c r="C48" s="7" t="n">
        <v>47</v>
      </c>
      <c r="D48" s="7" t="n">
        <v>11</v>
      </c>
      <c r="E48" s="20" t="n">
        <v>19641</v>
      </c>
      <c r="F48" s="20" t="n">
        <v>24990</v>
      </c>
      <c r="G48" s="20" t="n">
        <v>41679</v>
      </c>
      <c r="H48" s="20" t="n">
        <v>41436</v>
      </c>
      <c r="I48" s="31" t="n">
        <v>0.9642</v>
      </c>
      <c r="J48" s="32" t="b">
        <f aca="false">FALSE()</f>
        <v>0</v>
      </c>
      <c r="K48" s="32" t="b">
        <f aca="false">FALSE()</f>
        <v>0</v>
      </c>
      <c r="L48" s="32" t="b">
        <f aca="false">FALSE()</f>
        <v>0</v>
      </c>
      <c r="M48" s="32" t="b">
        <f aca="false">FALSE()</f>
        <v>0</v>
      </c>
      <c r="N48" s="6" t="str">
        <f aca="false">IF(OR(AND(B48=2024,C48&gt;=43),AND(B48=2025,C48&lt;=13)),"Temporada 2024-25",IF(AND(B48=2025,C48&gt;=36,C48&lt;=42),"Sep-oct 2025","Resto del año"))</f>
        <v>Temporada 2024-25</v>
      </c>
    </row>
    <row r="49" customFormat="false" ht="15" hidden="false" customHeight="false" outlineLevel="0" collapsed="false">
      <c r="A49" s="7" t="s">
        <v>48</v>
      </c>
      <c r="B49" s="7" t="n">
        <v>2024</v>
      </c>
      <c r="C49" s="7" t="n">
        <v>48</v>
      </c>
      <c r="D49" s="7" t="n">
        <v>11</v>
      </c>
      <c r="E49" s="20" t="n">
        <v>17063</v>
      </c>
      <c r="F49" s="20" t="n">
        <v>21028</v>
      </c>
      <c r="G49" s="20" t="n">
        <v>45554</v>
      </c>
      <c r="H49" s="20" t="n">
        <v>42726</v>
      </c>
      <c r="I49" s="31" t="n">
        <v>0.9728</v>
      </c>
      <c r="J49" s="32" t="b">
        <f aca="false">FALSE()</f>
        <v>0</v>
      </c>
      <c r="K49" s="32" t="b">
        <f aca="false">FALSE()</f>
        <v>0</v>
      </c>
      <c r="L49" s="32" t="b">
        <f aca="false">FALSE()</f>
        <v>0</v>
      </c>
      <c r="M49" s="32" t="b">
        <f aca="false">FALSE()</f>
        <v>0</v>
      </c>
      <c r="N49" s="6" t="str">
        <f aca="false">IF(OR(AND(B49=2024,C49&gt;=43),AND(B49=2025,C49&lt;=13)),"Temporada 2024-25",IF(AND(B49=2025,C49&gt;=36,C49&lt;=42),"Sep-oct 2025","Resto del año"))</f>
        <v>Temporada 2024-25</v>
      </c>
    </row>
    <row r="50" customFormat="false" ht="15" hidden="false" customHeight="false" outlineLevel="0" collapsed="false">
      <c r="A50" s="7" t="s">
        <v>48</v>
      </c>
      <c r="B50" s="7" t="n">
        <v>2024</v>
      </c>
      <c r="C50" s="7" t="n">
        <v>49</v>
      </c>
      <c r="D50" s="7" t="n">
        <v>12</v>
      </c>
      <c r="E50" s="20" t="n">
        <v>14728</v>
      </c>
      <c r="F50" s="20" t="n">
        <v>18809</v>
      </c>
      <c r="G50" s="20" t="n">
        <v>46692</v>
      </c>
      <c r="H50" s="20" t="n">
        <v>44203</v>
      </c>
      <c r="I50" s="31" t="n">
        <v>0.9664</v>
      </c>
      <c r="J50" s="32" t="b">
        <f aca="false">FALSE()</f>
        <v>0</v>
      </c>
      <c r="K50" s="32" t="b">
        <f aca="false">FALSE()</f>
        <v>0</v>
      </c>
      <c r="L50" s="32" t="b">
        <f aca="false">FALSE()</f>
        <v>0</v>
      </c>
      <c r="M50" s="32" t="b">
        <f aca="false">FALSE()</f>
        <v>0</v>
      </c>
      <c r="N50" s="6" t="str">
        <f aca="false">IF(OR(AND(B50=2024,C50&gt;=43),AND(B50=2025,C50&lt;=13)),"Temporada 2024-25",IF(AND(B50=2025,C50&gt;=36,C50&lt;=42),"Sep-oct 2025","Resto del año"))</f>
        <v>Temporada 2024-25</v>
      </c>
    </row>
    <row r="51" customFormat="false" ht="15" hidden="false" customHeight="false" outlineLevel="0" collapsed="false">
      <c r="A51" s="7" t="s">
        <v>48</v>
      </c>
      <c r="B51" s="7" t="n">
        <v>2024</v>
      </c>
      <c r="C51" s="7" t="n">
        <v>50</v>
      </c>
      <c r="D51" s="7" t="n">
        <v>12</v>
      </c>
      <c r="E51" s="20" t="n">
        <v>16500</v>
      </c>
      <c r="F51" s="20" t="n">
        <v>14776</v>
      </c>
      <c r="G51" s="20" t="n">
        <v>45378</v>
      </c>
      <c r="H51" s="20" t="n">
        <v>45330</v>
      </c>
      <c r="I51" s="31" t="n">
        <v>0.9353</v>
      </c>
      <c r="J51" s="32" t="b">
        <f aca="false">FALSE()</f>
        <v>0</v>
      </c>
      <c r="K51" s="32" t="b">
        <f aca="false">FALSE()</f>
        <v>0</v>
      </c>
      <c r="L51" s="32" t="b">
        <f aca="false">FALSE()</f>
        <v>0</v>
      </c>
      <c r="M51" s="32" t="b">
        <f aca="false">FALSE()</f>
        <v>0</v>
      </c>
      <c r="N51" s="6" t="str">
        <f aca="false">IF(OR(AND(B51=2024,C51&gt;=43),AND(B51=2025,C51&lt;=13)),"Temporada 2024-25",IF(AND(B51=2025,C51&gt;=36,C51&lt;=42),"Sep-oct 2025","Resto del año"))</f>
        <v>Temporada 2024-25</v>
      </c>
    </row>
    <row r="52" customFormat="false" ht="15" hidden="false" customHeight="false" outlineLevel="0" collapsed="false">
      <c r="A52" s="7" t="s">
        <v>48</v>
      </c>
      <c r="B52" s="7" t="n">
        <v>2024</v>
      </c>
      <c r="C52" s="7" t="n">
        <v>51</v>
      </c>
      <c r="D52" s="7" t="n">
        <v>12</v>
      </c>
      <c r="E52" s="20" t="n">
        <v>12325</v>
      </c>
      <c r="F52" s="20" t="n">
        <v>12018</v>
      </c>
      <c r="G52" s="20" t="n">
        <v>42081</v>
      </c>
      <c r="H52" s="20" t="n">
        <v>41275</v>
      </c>
      <c r="I52" s="31" t="n">
        <v>0.887</v>
      </c>
      <c r="J52" s="32" t="b">
        <f aca="false">FALSE()</f>
        <v>0</v>
      </c>
      <c r="K52" s="32" t="b">
        <f aca="false">FALSE()</f>
        <v>0</v>
      </c>
      <c r="L52" s="32" t="b">
        <f aca="false">FALSE()</f>
        <v>0</v>
      </c>
      <c r="M52" s="32" t="b">
        <f aca="false">FALSE()</f>
        <v>0</v>
      </c>
      <c r="N52" s="6" t="str">
        <f aca="false">IF(OR(AND(B52=2024,C52&gt;=43),AND(B52=2025,C52&lt;=13)),"Temporada 2024-25",IF(AND(B52=2025,C52&gt;=36,C52&lt;=42),"Sep-oct 2025","Resto del año"))</f>
        <v>Temporada 2024-25</v>
      </c>
    </row>
    <row r="53" customFormat="false" ht="15" hidden="false" customHeight="false" outlineLevel="0" collapsed="false">
      <c r="A53" s="7" t="s">
        <v>48</v>
      </c>
      <c r="B53" s="7" t="n">
        <v>2024</v>
      </c>
      <c r="C53" s="7" t="n">
        <v>52</v>
      </c>
      <c r="D53" s="7" t="n">
        <v>12</v>
      </c>
      <c r="E53" s="20" t="n">
        <v>8923</v>
      </c>
      <c r="F53" s="20" t="n">
        <v>8923</v>
      </c>
      <c r="G53" s="20" t="n">
        <v>40503</v>
      </c>
      <c r="H53" s="20" t="n">
        <v>39980</v>
      </c>
      <c r="I53" s="31" t="n">
        <v>0.8268</v>
      </c>
      <c r="J53" s="32" t="b">
        <f aca="false">FALSE()</f>
        <v>0</v>
      </c>
      <c r="K53" s="32" t="b">
        <f aca="false">FALSE()</f>
        <v>0</v>
      </c>
      <c r="L53" s="32" t="b">
        <f aca="false">FALSE()</f>
        <v>0</v>
      </c>
      <c r="M53" s="32" t="b">
        <f aca="false">FALSE()</f>
        <v>0</v>
      </c>
      <c r="N53" s="6" t="str">
        <f aca="false">IF(OR(AND(B53=2024,C53&gt;=43),AND(B53=2025,C53&lt;=13)),"Temporada 2024-25",IF(AND(B53=2025,C53&gt;=36,C53&lt;=42),"Sep-oct 2025","Resto del año"))</f>
        <v>Temporada 2024-25</v>
      </c>
    </row>
    <row r="54" customFormat="false" ht="15" hidden="false" customHeight="false" outlineLevel="0" collapsed="false">
      <c r="A54" s="7" t="s">
        <v>48</v>
      </c>
      <c r="B54" s="7" t="n">
        <v>2025</v>
      </c>
      <c r="C54" s="7" t="n">
        <v>1</v>
      </c>
      <c r="D54" s="7" t="n">
        <v>12</v>
      </c>
      <c r="E54" s="20" t="n">
        <v>7483</v>
      </c>
      <c r="F54" s="20" t="n">
        <v>7949</v>
      </c>
      <c r="G54" s="20" t="n">
        <v>43713</v>
      </c>
      <c r="H54" s="20" t="n">
        <v>42190</v>
      </c>
      <c r="I54" s="31" t="n">
        <v>0.7659</v>
      </c>
      <c r="J54" s="32" t="b">
        <f aca="false">FALSE()</f>
        <v>0</v>
      </c>
      <c r="K54" s="32" t="b">
        <f aca="false">FALSE()</f>
        <v>0</v>
      </c>
      <c r="L54" s="32" t="b">
        <f aca="false">FALSE()</f>
        <v>0</v>
      </c>
      <c r="M54" s="32" t="b">
        <f aca="false">FALSE()</f>
        <v>0</v>
      </c>
      <c r="N54" s="6" t="str">
        <f aca="false">IF(OR(AND(B54=2024,C54&gt;=43),AND(B54=2025,C54&lt;=13)),"Temporada 2024-25",IF(AND(B54=2025,C54&gt;=36,C54&lt;=42),"Sep-oct 2025","Resto del año"))</f>
        <v>Temporada 2024-25</v>
      </c>
    </row>
    <row r="55" customFormat="false" ht="15" hidden="false" customHeight="false" outlineLevel="0" collapsed="false">
      <c r="A55" s="7" t="s">
        <v>48</v>
      </c>
      <c r="B55" s="7" t="n">
        <v>2025</v>
      </c>
      <c r="C55" s="7" t="n">
        <v>2</v>
      </c>
      <c r="D55" s="7" t="n">
        <v>1</v>
      </c>
      <c r="E55" s="20" t="n">
        <v>10066</v>
      </c>
      <c r="F55" s="20" t="n">
        <v>9808</v>
      </c>
      <c r="G55" s="20" t="n">
        <v>39705</v>
      </c>
      <c r="H55" s="20" t="n">
        <v>39995</v>
      </c>
      <c r="I55" s="31" t="n">
        <v>0.7162</v>
      </c>
      <c r="J55" s="32" t="b">
        <f aca="false">FALSE()</f>
        <v>0</v>
      </c>
      <c r="K55" s="32" t="b">
        <f aca="false">FALSE()</f>
        <v>0</v>
      </c>
      <c r="L55" s="32" t="b">
        <f aca="false">FALSE()</f>
        <v>0</v>
      </c>
      <c r="M55" s="32" t="b">
        <f aca="false">FALSE()</f>
        <v>0</v>
      </c>
      <c r="N55" s="6" t="str">
        <f aca="false">IF(OR(AND(B55=2024,C55&gt;=43),AND(B55=2025,C55&lt;=13)),"Temporada 2024-25",IF(AND(B55=2025,C55&gt;=36,C55&lt;=42),"Sep-oct 2025","Resto del año"))</f>
        <v>Temporada 2024-25</v>
      </c>
    </row>
    <row r="56" customFormat="false" ht="15" hidden="false" customHeight="false" outlineLevel="0" collapsed="false">
      <c r="A56" s="7" t="s">
        <v>48</v>
      </c>
      <c r="B56" s="7" t="n">
        <v>2025</v>
      </c>
      <c r="C56" s="7" t="n">
        <v>3</v>
      </c>
      <c r="D56" s="7" t="n">
        <v>1</v>
      </c>
      <c r="E56" s="20" t="n">
        <v>10992</v>
      </c>
      <c r="F56" s="20" t="n">
        <v>11068</v>
      </c>
      <c r="G56" s="20" t="n">
        <v>39051</v>
      </c>
      <c r="H56" s="20" t="n">
        <v>39364</v>
      </c>
      <c r="I56" s="31" t="n">
        <v>0.6884</v>
      </c>
      <c r="J56" s="32" t="b">
        <f aca="false">FALSE()</f>
        <v>0</v>
      </c>
      <c r="K56" s="32" t="b">
        <f aca="false">FALSE()</f>
        <v>0</v>
      </c>
      <c r="L56" s="32" t="b">
        <f aca="false">FALSE()</f>
        <v>0</v>
      </c>
      <c r="M56" s="32" t="b">
        <f aca="false">FALSE()</f>
        <v>0</v>
      </c>
      <c r="N56" s="6" t="str">
        <f aca="false">IF(OR(AND(B56=2024,C56&gt;=43),AND(B56=2025,C56&lt;=13)),"Temporada 2024-25",IF(AND(B56=2025,C56&gt;=36,C56&lt;=42),"Sep-oct 2025","Resto del año"))</f>
        <v>Temporada 2024-25</v>
      </c>
    </row>
    <row r="57" customFormat="false" ht="15" hidden="false" customHeight="false" outlineLevel="0" collapsed="false">
      <c r="A57" s="7" t="s">
        <v>48</v>
      </c>
      <c r="B57" s="7" t="n">
        <v>2025</v>
      </c>
      <c r="C57" s="7" t="n">
        <v>4</v>
      </c>
      <c r="D57" s="7" t="n">
        <v>1</v>
      </c>
      <c r="E57" s="20" t="n">
        <v>11842</v>
      </c>
      <c r="F57" s="20" t="n">
        <v>12054</v>
      </c>
      <c r="G57" s="20" t="n">
        <v>36663</v>
      </c>
      <c r="H57" s="20" t="n">
        <v>37785</v>
      </c>
      <c r="I57" s="31" t="n">
        <v>0.6695</v>
      </c>
      <c r="J57" s="32" t="b">
        <f aca="false">FALSE()</f>
        <v>0</v>
      </c>
      <c r="K57" s="32" t="b">
        <f aca="false">FALSE()</f>
        <v>0</v>
      </c>
      <c r="L57" s="32" t="b">
        <f aca="false">FALSE()</f>
        <v>0</v>
      </c>
      <c r="M57" s="32" t="b">
        <f aca="false">FALSE()</f>
        <v>0</v>
      </c>
      <c r="N57" s="6" t="str">
        <f aca="false">IF(OR(AND(B57=2024,C57&gt;=43),AND(B57=2025,C57&lt;=13)),"Temporada 2024-25",IF(AND(B57=2025,C57&gt;=36,C57&lt;=42),"Sep-oct 2025","Resto del año"))</f>
        <v>Temporada 2024-25</v>
      </c>
    </row>
    <row r="58" customFormat="false" ht="15" hidden="false" customHeight="false" outlineLevel="0" collapsed="false">
      <c r="A58" s="7" t="s">
        <v>48</v>
      </c>
      <c r="B58" s="7" t="n">
        <v>2025</v>
      </c>
      <c r="C58" s="7" t="n">
        <v>5</v>
      </c>
      <c r="D58" s="7" t="n">
        <v>1</v>
      </c>
      <c r="E58" s="20" t="n">
        <v>11972</v>
      </c>
      <c r="F58" s="20" t="n">
        <v>13678</v>
      </c>
      <c r="G58" s="20" t="n">
        <v>36600</v>
      </c>
      <c r="H58" s="20" t="n">
        <v>37458</v>
      </c>
      <c r="I58" s="31" t="n">
        <v>0.67</v>
      </c>
      <c r="J58" s="32" t="b">
        <f aca="false">FALSE()</f>
        <v>0</v>
      </c>
      <c r="K58" s="32" t="b">
        <f aca="false">FALSE()</f>
        <v>0</v>
      </c>
      <c r="L58" s="32" t="b">
        <f aca="false">FALSE()</f>
        <v>0</v>
      </c>
      <c r="M58" s="32" t="b">
        <f aca="false">FALSE()</f>
        <v>0</v>
      </c>
      <c r="N58" s="6" t="str">
        <f aca="false">IF(OR(AND(B58=2024,C58&gt;=43),AND(B58=2025,C58&lt;=13)),"Temporada 2024-25",IF(AND(B58=2025,C58&gt;=36,C58&lt;=42),"Sep-oct 2025","Resto del año"))</f>
        <v>Temporada 2024-25</v>
      </c>
    </row>
    <row r="59" customFormat="false" ht="15" hidden="false" customHeight="false" outlineLevel="0" collapsed="false">
      <c r="A59" s="7" t="s">
        <v>48</v>
      </c>
      <c r="B59" s="7" t="n">
        <v>2025</v>
      </c>
      <c r="C59" s="7" t="n">
        <v>6</v>
      </c>
      <c r="D59" s="7" t="n">
        <v>2</v>
      </c>
      <c r="E59" s="20" t="n">
        <v>13975</v>
      </c>
      <c r="F59" s="20" t="n">
        <v>15051</v>
      </c>
      <c r="G59" s="20" t="n">
        <v>41435</v>
      </c>
      <c r="H59" s="20" t="n">
        <v>41432</v>
      </c>
      <c r="I59" s="31" t="n">
        <v>0.6729</v>
      </c>
      <c r="J59" s="32" t="b">
        <f aca="false">FALSE()</f>
        <v>0</v>
      </c>
      <c r="K59" s="32" t="b">
        <f aca="false">FALSE()</f>
        <v>0</v>
      </c>
      <c r="L59" s="32" t="b">
        <f aca="false">FALSE()</f>
        <v>0</v>
      </c>
      <c r="M59" s="32" t="b">
        <f aca="false">FALSE()</f>
        <v>0</v>
      </c>
      <c r="N59" s="6" t="str">
        <f aca="false">IF(OR(AND(B59=2024,C59&gt;=43),AND(B59=2025,C59&lt;=13)),"Temporada 2024-25",IF(AND(B59=2025,C59&gt;=36,C59&lt;=42),"Sep-oct 2025","Resto del año"))</f>
        <v>Temporada 2024-25</v>
      </c>
    </row>
    <row r="60" customFormat="false" ht="15" hidden="false" customHeight="false" outlineLevel="0" collapsed="false">
      <c r="A60" s="7" t="s">
        <v>48</v>
      </c>
      <c r="B60" s="7" t="n">
        <v>2025</v>
      </c>
      <c r="C60" s="7" t="n">
        <v>7</v>
      </c>
      <c r="D60" s="7" t="n">
        <v>2</v>
      </c>
      <c r="E60" s="20" t="n">
        <v>16133</v>
      </c>
      <c r="F60" s="20" t="n">
        <v>16388</v>
      </c>
      <c r="G60" s="20" t="n">
        <v>41433</v>
      </c>
      <c r="H60" s="20" t="n">
        <v>41886</v>
      </c>
      <c r="I60" s="31" t="n">
        <v>0.6777</v>
      </c>
      <c r="J60" s="32" t="b">
        <f aca="false">FALSE()</f>
        <v>0</v>
      </c>
      <c r="K60" s="32" t="b">
        <f aca="false">FALSE()</f>
        <v>0</v>
      </c>
      <c r="L60" s="32" t="b">
        <f aca="false">FALSE()</f>
        <v>0</v>
      </c>
      <c r="M60" s="32" t="b">
        <f aca="false">FALSE()</f>
        <v>0</v>
      </c>
      <c r="N60" s="6" t="str">
        <f aca="false">IF(OR(AND(B60=2024,C60&gt;=43),AND(B60=2025,C60&lt;=13)),"Temporada 2024-25",IF(AND(B60=2025,C60&gt;=36,C60&lt;=42),"Sep-oct 2025","Resto del año"))</f>
        <v>Temporada 2024-25</v>
      </c>
    </row>
    <row r="61" customFormat="false" ht="15" hidden="false" customHeight="false" outlineLevel="0" collapsed="false">
      <c r="A61" s="7" t="s">
        <v>48</v>
      </c>
      <c r="B61" s="7" t="n">
        <v>2025</v>
      </c>
      <c r="C61" s="7" t="n">
        <v>8</v>
      </c>
      <c r="D61" s="7" t="n">
        <v>2</v>
      </c>
      <c r="E61" s="20" t="n">
        <v>15301</v>
      </c>
      <c r="F61" s="20" t="n">
        <v>15910</v>
      </c>
      <c r="G61" s="20" t="n">
        <v>40100</v>
      </c>
      <c r="H61" s="20" t="n">
        <v>40876</v>
      </c>
      <c r="I61" s="31" t="n">
        <v>0.6857</v>
      </c>
      <c r="J61" s="32" t="b">
        <f aca="false">FALSE()</f>
        <v>0</v>
      </c>
      <c r="K61" s="32" t="b">
        <f aca="false">FALSE()</f>
        <v>0</v>
      </c>
      <c r="L61" s="32" t="b">
        <f aca="false">FALSE()</f>
        <v>0</v>
      </c>
      <c r="M61" s="32" t="b">
        <f aca="false">FALSE()</f>
        <v>0</v>
      </c>
      <c r="N61" s="6" t="str">
        <f aca="false">IF(OR(AND(B61=2024,C61&gt;=43),AND(B61=2025,C61&lt;=13)),"Temporada 2024-25",IF(AND(B61=2025,C61&gt;=36,C61&lt;=42),"Sep-oct 2025","Resto del año"))</f>
        <v>Temporada 2024-25</v>
      </c>
    </row>
    <row r="62" customFormat="false" ht="15" hidden="false" customHeight="false" outlineLevel="0" collapsed="false">
      <c r="A62" s="7" t="s">
        <v>48</v>
      </c>
      <c r="B62" s="7" t="n">
        <v>2025</v>
      </c>
      <c r="C62" s="7" t="n">
        <v>9</v>
      </c>
      <c r="D62" s="7" t="n">
        <v>2</v>
      </c>
      <c r="E62" s="20" t="n">
        <v>14812</v>
      </c>
      <c r="F62" s="20" t="n">
        <v>15798</v>
      </c>
      <c r="G62" s="20" t="n">
        <v>42489</v>
      </c>
      <c r="H62" s="20" t="n">
        <v>42525</v>
      </c>
      <c r="I62" s="31" t="n">
        <v>0.6801</v>
      </c>
      <c r="J62" s="32" t="b">
        <f aca="false">FALSE()</f>
        <v>0</v>
      </c>
      <c r="K62" s="32" t="b">
        <f aca="false">FALSE()</f>
        <v>0</v>
      </c>
      <c r="L62" s="32" t="b">
        <f aca="false">FALSE()</f>
        <v>0</v>
      </c>
      <c r="M62" s="32" t="b">
        <f aca="false">FALSE()</f>
        <v>0</v>
      </c>
      <c r="N62" s="6" t="str">
        <f aca="false">IF(OR(AND(B62=2024,C62&gt;=43),AND(B62=2025,C62&lt;=13)),"Temporada 2024-25",IF(AND(B62=2025,C62&gt;=36,C62&lt;=42),"Sep-oct 2025","Resto del año"))</f>
        <v>Temporada 2024-25</v>
      </c>
    </row>
    <row r="63" customFormat="false" ht="15" hidden="false" customHeight="false" outlineLevel="0" collapsed="false">
      <c r="A63" s="7" t="s">
        <v>48</v>
      </c>
      <c r="B63" s="7" t="n">
        <v>2025</v>
      </c>
      <c r="C63" s="7" t="n">
        <v>10</v>
      </c>
      <c r="D63" s="7" t="n">
        <v>3</v>
      </c>
      <c r="E63" s="20" t="n">
        <v>18935</v>
      </c>
      <c r="F63" s="20" t="n">
        <v>18286</v>
      </c>
      <c r="G63" s="20" t="n">
        <v>44190</v>
      </c>
      <c r="H63" s="20" t="n">
        <v>46140</v>
      </c>
      <c r="I63" s="31" t="n">
        <v>0.6853</v>
      </c>
      <c r="J63" s="32" t="b">
        <f aca="false">FALSE()</f>
        <v>0</v>
      </c>
      <c r="K63" s="32" t="b">
        <f aca="false">FALSE()</f>
        <v>0</v>
      </c>
      <c r="L63" s="32" t="b">
        <f aca="false">FALSE()</f>
        <v>0</v>
      </c>
      <c r="M63" s="32" t="b">
        <f aca="false">FALSE()</f>
        <v>0</v>
      </c>
      <c r="N63" s="6" t="str">
        <f aca="false">IF(OR(AND(B63=2024,C63&gt;=43),AND(B63=2025,C63&lt;=13)),"Temporada 2024-25",IF(AND(B63=2025,C63&gt;=36,C63&lt;=42),"Sep-oct 2025","Resto del año"))</f>
        <v>Temporada 2024-25</v>
      </c>
    </row>
    <row r="64" customFormat="false" ht="15" hidden="false" customHeight="false" outlineLevel="0" collapsed="false">
      <c r="A64" s="7" t="s">
        <v>48</v>
      </c>
      <c r="B64" s="7" t="n">
        <v>2025</v>
      </c>
      <c r="C64" s="7" t="n">
        <v>11</v>
      </c>
      <c r="D64" s="7" t="n">
        <v>3</v>
      </c>
      <c r="E64" s="20" t="n">
        <v>16259</v>
      </c>
      <c r="F64" s="20" t="n">
        <v>17645</v>
      </c>
      <c r="G64" s="20" t="n">
        <v>47617</v>
      </c>
      <c r="H64" s="20" t="n">
        <v>45383</v>
      </c>
      <c r="I64" s="31" t="n">
        <v>0.6869</v>
      </c>
      <c r="J64" s="32" t="b">
        <f aca="false">FALSE()</f>
        <v>0</v>
      </c>
      <c r="K64" s="32" t="b">
        <f aca="false">FALSE()</f>
        <v>0</v>
      </c>
      <c r="L64" s="32" t="b">
        <f aca="false">FALSE()</f>
        <v>0</v>
      </c>
      <c r="M64" s="32" t="b">
        <f aca="false">FALSE()</f>
        <v>0</v>
      </c>
      <c r="N64" s="6" t="str">
        <f aca="false">IF(OR(AND(B64=2024,C64&gt;=43),AND(B64=2025,C64&lt;=13)),"Temporada 2024-25",IF(AND(B64=2025,C64&gt;=36,C64&lt;=42),"Sep-oct 2025","Resto del año"))</f>
        <v>Temporada 2024-25</v>
      </c>
    </row>
    <row r="65" customFormat="false" ht="15" hidden="false" customHeight="false" outlineLevel="0" collapsed="false">
      <c r="A65" s="7" t="s">
        <v>48</v>
      </c>
      <c r="B65" s="7" t="n">
        <v>2025</v>
      </c>
      <c r="C65" s="7" t="n">
        <v>12</v>
      </c>
      <c r="D65" s="7" t="n">
        <v>3</v>
      </c>
      <c r="E65" s="20" t="n">
        <v>17918</v>
      </c>
      <c r="F65" s="20" t="n">
        <v>18219</v>
      </c>
      <c r="G65" s="20" t="n">
        <v>43603</v>
      </c>
      <c r="H65" s="20" t="n">
        <v>42005</v>
      </c>
      <c r="I65" s="31" t="n">
        <v>0.708</v>
      </c>
      <c r="J65" s="32" t="b">
        <f aca="false">FALSE()</f>
        <v>0</v>
      </c>
      <c r="K65" s="32" t="b">
        <f aca="false">FALSE()</f>
        <v>0</v>
      </c>
      <c r="L65" s="32" t="b">
        <f aca="false">FALSE()</f>
        <v>0</v>
      </c>
      <c r="M65" s="32" t="b">
        <f aca="false">FALSE()</f>
        <v>0</v>
      </c>
      <c r="N65" s="6" t="str">
        <f aca="false">IF(OR(AND(B65=2024,C65&gt;=43),AND(B65=2025,C65&lt;=13)),"Temporada 2024-25",IF(AND(B65=2025,C65&gt;=36,C65&lt;=42),"Sep-oct 2025","Resto del año"))</f>
        <v>Temporada 2024-25</v>
      </c>
    </row>
    <row r="66" customFormat="false" ht="15" hidden="false" customHeight="false" outlineLevel="0" collapsed="false">
      <c r="A66" s="7" t="s">
        <v>48</v>
      </c>
      <c r="B66" s="7" t="n">
        <v>2025</v>
      </c>
      <c r="C66" s="7" t="n">
        <v>13</v>
      </c>
      <c r="D66" s="7" t="n">
        <v>3</v>
      </c>
      <c r="E66" s="20" t="n">
        <v>15840</v>
      </c>
      <c r="F66" s="20" t="n">
        <v>15961</v>
      </c>
      <c r="G66" s="20" t="n">
        <v>39640</v>
      </c>
      <c r="H66" s="20" t="n">
        <v>45300</v>
      </c>
      <c r="I66" s="31" t="n">
        <v>0.7019</v>
      </c>
      <c r="J66" s="32" t="b">
        <f aca="false">FALSE()</f>
        <v>0</v>
      </c>
      <c r="K66" s="32" t="b">
        <f aca="false">FALSE()</f>
        <v>0</v>
      </c>
      <c r="L66" s="32" t="b">
        <f aca="false">FALSE()</f>
        <v>0</v>
      </c>
      <c r="M66" s="32" t="b">
        <f aca="false">FALSE()</f>
        <v>0</v>
      </c>
      <c r="N66" s="6" t="str">
        <f aca="false">IF(OR(AND(B66=2024,C66&gt;=43),AND(B66=2025,C66&lt;=13)),"Temporada 2024-25",IF(AND(B66=2025,C66&gt;=36,C66&lt;=42),"Sep-oct 2025","Resto del año"))</f>
        <v>Temporada 2024-25</v>
      </c>
    </row>
    <row r="67" customFormat="false" ht="15" hidden="false" customHeight="false" outlineLevel="0" collapsed="false">
      <c r="A67" s="7" t="s">
        <v>48</v>
      </c>
      <c r="B67" s="7" t="n">
        <v>2025</v>
      </c>
      <c r="C67" s="7" t="n">
        <v>14</v>
      </c>
      <c r="D67" s="7" t="n">
        <v>3</v>
      </c>
      <c r="E67" s="20" t="n">
        <v>16939</v>
      </c>
      <c r="F67" s="20" t="n">
        <v>17167</v>
      </c>
      <c r="G67" s="20" t="n">
        <v>46438</v>
      </c>
      <c r="H67" s="20" t="n">
        <v>44745</v>
      </c>
      <c r="I67" s="31" t="n">
        <v>0.7031</v>
      </c>
      <c r="J67" s="32" t="b">
        <f aca="false">FALSE()</f>
        <v>0</v>
      </c>
      <c r="K67" s="32" t="b">
        <f aca="false">FALSE()</f>
        <v>0</v>
      </c>
      <c r="L67" s="32" t="b">
        <f aca="false">FALSE()</f>
        <v>0</v>
      </c>
      <c r="M67" s="32" t="b">
        <f aca="false">FALSE()</f>
        <v>0</v>
      </c>
      <c r="N67" s="6" t="str">
        <f aca="false">IF(OR(AND(B67=2024,C67&gt;=43),AND(B67=2025,C67&lt;=13)),"Temporada 2024-25",IF(AND(B67=2025,C67&gt;=36,C67&lt;=42),"Sep-oct 2025","Resto del año"))</f>
        <v>Resto del año</v>
      </c>
    </row>
    <row r="68" customFormat="false" ht="15" hidden="false" customHeight="false" outlineLevel="0" collapsed="false">
      <c r="A68" s="7" t="s">
        <v>48</v>
      </c>
      <c r="B68" s="7" t="n">
        <v>2025</v>
      </c>
      <c r="C68" s="7" t="n">
        <v>15</v>
      </c>
      <c r="D68" s="7" t="n">
        <v>4</v>
      </c>
      <c r="E68" s="20" t="n">
        <v>17353</v>
      </c>
      <c r="F68" s="20" t="n">
        <v>18017</v>
      </c>
      <c r="G68" s="20" t="n">
        <v>42857</v>
      </c>
      <c r="H68" s="20" t="n">
        <v>42685</v>
      </c>
      <c r="I68" s="31" t="n">
        <v>0.7279</v>
      </c>
      <c r="J68" s="32" t="b">
        <f aca="false">FALSE()</f>
        <v>0</v>
      </c>
      <c r="K68" s="32" t="b">
        <f aca="false">FALSE()</f>
        <v>0</v>
      </c>
      <c r="L68" s="32" t="b">
        <f aca="false">FALSE()</f>
        <v>0</v>
      </c>
      <c r="M68" s="32" t="b">
        <f aca="false">FALSE()</f>
        <v>0</v>
      </c>
      <c r="N68" s="6" t="str">
        <f aca="false">IF(OR(AND(B68=2024,C68&gt;=43),AND(B68=2025,C68&lt;=13)),"Temporada 2024-25",IF(AND(B68=2025,C68&gt;=36,C68&lt;=42),"Sep-oct 2025","Resto del año"))</f>
        <v>Resto del año</v>
      </c>
    </row>
    <row r="69" customFormat="false" ht="15" hidden="false" customHeight="false" outlineLevel="0" collapsed="false">
      <c r="A69" s="7" t="s">
        <v>48</v>
      </c>
      <c r="B69" s="7" t="n">
        <v>2025</v>
      </c>
      <c r="C69" s="7" t="n">
        <v>16</v>
      </c>
      <c r="D69" s="7" t="n">
        <v>4</v>
      </c>
      <c r="E69" s="20" t="n">
        <v>13663</v>
      </c>
      <c r="F69" s="20" t="n">
        <v>17029</v>
      </c>
      <c r="G69" s="20" t="n">
        <v>42430</v>
      </c>
      <c r="H69" s="20" t="n">
        <v>43506</v>
      </c>
      <c r="I69" s="31" t="n">
        <v>0.737</v>
      </c>
      <c r="J69" s="32" t="b">
        <f aca="false">FALSE()</f>
        <v>0</v>
      </c>
      <c r="K69" s="32" t="b">
        <f aca="false">FALSE()</f>
        <v>0</v>
      </c>
      <c r="L69" s="32" t="b">
        <f aca="false">FALSE()</f>
        <v>0</v>
      </c>
      <c r="M69" s="32" t="b">
        <f aca="false">FALSE()</f>
        <v>0</v>
      </c>
      <c r="N69" s="6" t="str">
        <f aca="false">IF(OR(AND(B69=2024,C69&gt;=43),AND(B69=2025,C69&lt;=13)),"Temporada 2024-25",IF(AND(B69=2025,C69&gt;=36,C69&lt;=42),"Sep-oct 2025","Resto del año"))</f>
        <v>Resto del año</v>
      </c>
    </row>
    <row r="70" customFormat="false" ht="15" hidden="false" customHeight="false" outlineLevel="0" collapsed="false">
      <c r="A70" s="7" t="s">
        <v>48</v>
      </c>
      <c r="B70" s="7" t="n">
        <v>2025</v>
      </c>
      <c r="C70" s="7" t="n">
        <v>17</v>
      </c>
      <c r="D70" s="7" t="n">
        <v>4</v>
      </c>
      <c r="E70" s="20" t="n">
        <v>15662</v>
      </c>
      <c r="F70" s="20" t="n">
        <v>15293</v>
      </c>
      <c r="G70" s="20" t="n">
        <v>46492</v>
      </c>
      <c r="H70" s="20" t="n">
        <v>43242</v>
      </c>
      <c r="I70" s="31" t="n">
        <v>0.7231</v>
      </c>
      <c r="J70" s="32" t="b">
        <f aca="false">FALSE()</f>
        <v>0</v>
      </c>
      <c r="K70" s="32" t="b">
        <f aca="false">FALSE()</f>
        <v>0</v>
      </c>
      <c r="L70" s="32" t="b">
        <f aca="false">FALSE()</f>
        <v>0</v>
      </c>
      <c r="M70" s="32" t="b">
        <f aca="false">FALSE()</f>
        <v>0</v>
      </c>
      <c r="N70" s="6" t="str">
        <f aca="false">IF(OR(AND(B70=2024,C70&gt;=43),AND(B70=2025,C70&lt;=13)),"Temporada 2024-25",IF(AND(B70=2025,C70&gt;=36,C70&lt;=42),"Sep-oct 2025","Resto del año"))</f>
        <v>Resto del año</v>
      </c>
    </row>
    <row r="71" customFormat="false" ht="15" hidden="false" customHeight="false" outlineLevel="0" collapsed="false">
      <c r="A71" s="7" t="s">
        <v>48</v>
      </c>
      <c r="B71" s="7" t="n">
        <v>2025</v>
      </c>
      <c r="C71" s="7" t="n">
        <v>18</v>
      </c>
      <c r="D71" s="7" t="n">
        <v>4</v>
      </c>
      <c r="E71" s="20" t="n">
        <v>15341</v>
      </c>
      <c r="F71" s="20" t="n">
        <v>16464</v>
      </c>
      <c r="G71" s="20" t="n">
        <v>44086</v>
      </c>
      <c r="H71" s="20" t="n">
        <v>44171</v>
      </c>
      <c r="I71" s="31" t="n">
        <v>0.723</v>
      </c>
      <c r="J71" s="32" t="b">
        <f aca="false">FALSE()</f>
        <v>0</v>
      </c>
      <c r="K71" s="32" t="b">
        <f aca="false">FALSE()</f>
        <v>0</v>
      </c>
      <c r="L71" s="32" t="b">
        <f aca="false">FALSE()</f>
        <v>0</v>
      </c>
      <c r="M71" s="32" t="b">
        <f aca="false">FALSE()</f>
        <v>0</v>
      </c>
      <c r="N71" s="6" t="str">
        <f aca="false">IF(OR(AND(B71=2024,C71&gt;=43),AND(B71=2025,C71&lt;=13)),"Temporada 2024-25",IF(AND(B71=2025,C71&gt;=36,C71&lt;=42),"Sep-oct 2025","Resto del año"))</f>
        <v>Resto del año</v>
      </c>
    </row>
    <row r="72" customFormat="false" ht="15" hidden="false" customHeight="false" outlineLevel="0" collapsed="false">
      <c r="A72" s="7" t="s">
        <v>48</v>
      </c>
      <c r="B72" s="7" t="n">
        <v>2025</v>
      </c>
      <c r="C72" s="7" t="n">
        <v>19</v>
      </c>
      <c r="D72" s="7" t="n">
        <v>5</v>
      </c>
      <c r="E72" s="20" t="n">
        <v>16661</v>
      </c>
      <c r="F72" s="20" t="n">
        <v>16659</v>
      </c>
      <c r="G72" s="20" t="n">
        <v>45952</v>
      </c>
      <c r="H72" s="20" t="n">
        <v>44200</v>
      </c>
      <c r="I72" s="31" t="n">
        <v>0.7193</v>
      </c>
      <c r="J72" s="32" t="b">
        <f aca="false">FALSE()</f>
        <v>0</v>
      </c>
      <c r="K72" s="32" t="b">
        <f aca="false">FALSE()</f>
        <v>0</v>
      </c>
      <c r="L72" s="32" t="b">
        <f aca="false">FALSE()</f>
        <v>0</v>
      </c>
      <c r="M72" s="32" t="b">
        <f aca="false">FALSE()</f>
        <v>0</v>
      </c>
      <c r="N72" s="6" t="str">
        <f aca="false">IF(OR(AND(B72=2024,C72&gt;=43),AND(B72=2025,C72&lt;=13)),"Temporada 2024-25",IF(AND(B72=2025,C72&gt;=36,C72&lt;=42),"Sep-oct 2025","Resto del año"))</f>
        <v>Resto del año</v>
      </c>
    </row>
    <row r="73" customFormat="false" ht="15" hidden="false" customHeight="false" outlineLevel="0" collapsed="false">
      <c r="A73" s="7" t="s">
        <v>48</v>
      </c>
      <c r="B73" s="7" t="n">
        <v>2025</v>
      </c>
      <c r="C73" s="7" t="n">
        <v>20</v>
      </c>
      <c r="D73" s="7" t="n">
        <v>5</v>
      </c>
      <c r="E73" s="20" t="n">
        <v>15352</v>
      </c>
      <c r="F73" s="20" t="n">
        <v>15227</v>
      </c>
      <c r="G73" s="20" t="n">
        <v>42686</v>
      </c>
      <c r="H73" s="20" t="n">
        <v>41233</v>
      </c>
      <c r="I73" s="31" t="n">
        <v>0.7071</v>
      </c>
      <c r="J73" s="32" t="b">
        <f aca="false">FALSE()</f>
        <v>0</v>
      </c>
      <c r="K73" s="32" t="b">
        <f aca="false">FALSE()</f>
        <v>0</v>
      </c>
      <c r="L73" s="32" t="b">
        <f aca="false">FALSE()</f>
        <v>0</v>
      </c>
      <c r="M73" s="32" t="b">
        <f aca="false">FALSE()</f>
        <v>0</v>
      </c>
      <c r="N73" s="6" t="str">
        <f aca="false">IF(OR(AND(B73=2024,C73&gt;=43),AND(B73=2025,C73&lt;=13)),"Temporada 2024-25",IF(AND(B73=2025,C73&gt;=36,C73&lt;=42),"Sep-oct 2025","Resto del año"))</f>
        <v>Resto del año</v>
      </c>
    </row>
    <row r="74" customFormat="false" ht="15" hidden="false" customHeight="false" outlineLevel="0" collapsed="false">
      <c r="A74" s="7" t="s">
        <v>48</v>
      </c>
      <c r="B74" s="7" t="n">
        <v>2025</v>
      </c>
      <c r="C74" s="7" t="n">
        <v>21</v>
      </c>
      <c r="D74" s="7" t="n">
        <v>5</v>
      </c>
      <c r="E74" s="20" t="n">
        <v>16812</v>
      </c>
      <c r="F74" s="20" t="n">
        <v>16710</v>
      </c>
      <c r="G74" s="20" t="n">
        <v>45010</v>
      </c>
      <c r="H74" s="20" t="n">
        <v>41919</v>
      </c>
      <c r="I74" s="31" t="n">
        <v>0.7222</v>
      </c>
      <c r="J74" s="32" t="b">
        <f aca="false">FALSE()</f>
        <v>0</v>
      </c>
      <c r="K74" s="32" t="b">
        <f aca="false">FALSE()</f>
        <v>0</v>
      </c>
      <c r="L74" s="32" t="b">
        <f aca="false">FALSE()</f>
        <v>0</v>
      </c>
      <c r="M74" s="32" t="b">
        <f aca="false">FALSE()</f>
        <v>0</v>
      </c>
      <c r="N74" s="6" t="str">
        <f aca="false">IF(OR(AND(B74=2024,C74&gt;=43),AND(B74=2025,C74&lt;=13)),"Temporada 2024-25",IF(AND(B74=2025,C74&gt;=36,C74&lt;=42),"Sep-oct 2025","Resto del año"))</f>
        <v>Resto del año</v>
      </c>
    </row>
    <row r="75" customFormat="false" ht="15" hidden="false" customHeight="false" outlineLevel="0" collapsed="false">
      <c r="A75" s="7" t="s">
        <v>48</v>
      </c>
      <c r="B75" s="7" t="n">
        <v>2025</v>
      </c>
      <c r="C75" s="7" t="n">
        <v>22</v>
      </c>
      <c r="D75" s="7" t="n">
        <v>5</v>
      </c>
      <c r="E75" s="20" t="n">
        <v>16635</v>
      </c>
      <c r="F75" s="20" t="n">
        <v>15992</v>
      </c>
      <c r="G75" s="20" t="n">
        <v>40749</v>
      </c>
      <c r="H75" s="20" t="n">
        <v>39783</v>
      </c>
      <c r="I75" s="31" t="n">
        <v>0.7312</v>
      </c>
      <c r="J75" s="32" t="b">
        <f aca="false">FALSE()</f>
        <v>0</v>
      </c>
      <c r="K75" s="32" t="b">
        <f aca="false">FALSE()</f>
        <v>0</v>
      </c>
      <c r="L75" s="32" t="b">
        <f aca="false">FALSE()</f>
        <v>0</v>
      </c>
      <c r="M75" s="32" t="b">
        <f aca="false">FALSE()</f>
        <v>0</v>
      </c>
      <c r="N75" s="6" t="str">
        <f aca="false">IF(OR(AND(B75=2024,C75&gt;=43),AND(B75=2025,C75&lt;=13)),"Temporada 2024-25",IF(AND(B75=2025,C75&gt;=36,C75&lt;=42),"Sep-oct 2025","Resto del año"))</f>
        <v>Resto del año</v>
      </c>
    </row>
    <row r="76" customFormat="false" ht="15" hidden="false" customHeight="false" outlineLevel="0" collapsed="false">
      <c r="A76" s="7" t="s">
        <v>48</v>
      </c>
      <c r="B76" s="7" t="n">
        <v>2025</v>
      </c>
      <c r="C76" s="7" t="n">
        <v>23</v>
      </c>
      <c r="D76" s="7" t="n">
        <v>6</v>
      </c>
      <c r="E76" s="20" t="n">
        <v>15641</v>
      </c>
      <c r="F76" s="20" t="n">
        <v>16230</v>
      </c>
      <c r="G76" s="20" t="n">
        <v>42577</v>
      </c>
      <c r="H76" s="20" t="n">
        <v>40844</v>
      </c>
      <c r="I76" s="31" t="n">
        <v>0.7363</v>
      </c>
      <c r="J76" s="32" t="b">
        <f aca="false">FALSE()</f>
        <v>0</v>
      </c>
      <c r="K76" s="32" t="b">
        <f aca="false">FALSE()</f>
        <v>0</v>
      </c>
      <c r="L76" s="32" t="b">
        <f aca="false">FALSE()</f>
        <v>0</v>
      </c>
      <c r="M76" s="32" t="b">
        <f aca="false">FALSE()</f>
        <v>0</v>
      </c>
      <c r="N76" s="6" t="str">
        <f aca="false">IF(OR(AND(B76=2024,C76&gt;=43),AND(B76=2025,C76&lt;=13)),"Temporada 2024-25",IF(AND(B76=2025,C76&gt;=36,C76&lt;=42),"Sep-oct 2025","Resto del año"))</f>
        <v>Resto del año</v>
      </c>
    </row>
    <row r="77" customFormat="false" ht="15" hidden="false" customHeight="false" outlineLevel="0" collapsed="false">
      <c r="A77" s="7" t="s">
        <v>48</v>
      </c>
      <c r="B77" s="7" t="n">
        <v>2025</v>
      </c>
      <c r="C77" s="7" t="n">
        <v>24</v>
      </c>
      <c r="D77" s="7" t="n">
        <v>6</v>
      </c>
      <c r="E77" s="20" t="n">
        <v>18120</v>
      </c>
      <c r="F77" s="20" t="n">
        <v>16588</v>
      </c>
      <c r="G77" s="20" t="n">
        <v>43682</v>
      </c>
      <c r="H77" s="20" t="n">
        <v>42692</v>
      </c>
      <c r="I77" s="31" t="n">
        <v>0.7427</v>
      </c>
      <c r="J77" s="32" t="b">
        <f aca="false">FALSE()</f>
        <v>0</v>
      </c>
      <c r="K77" s="32" t="b">
        <f aca="false">FALSE()</f>
        <v>0</v>
      </c>
      <c r="L77" s="32" t="b">
        <f aca="false">FALSE()</f>
        <v>0</v>
      </c>
      <c r="M77" s="32" t="b">
        <f aca="false">FALSE()</f>
        <v>0</v>
      </c>
      <c r="N77" s="6" t="str">
        <f aca="false">IF(OR(AND(B77=2024,C77&gt;=43),AND(B77=2025,C77&lt;=13)),"Temporada 2024-25",IF(AND(B77=2025,C77&gt;=36,C77&lt;=42),"Sep-oct 2025","Resto del año"))</f>
        <v>Resto del año</v>
      </c>
    </row>
    <row r="78" customFormat="false" ht="15" hidden="false" customHeight="false" outlineLevel="0" collapsed="false">
      <c r="A78" s="7" t="s">
        <v>48</v>
      </c>
      <c r="B78" s="7" t="n">
        <v>2025</v>
      </c>
      <c r="C78" s="7" t="n">
        <v>25</v>
      </c>
      <c r="D78" s="7" t="n">
        <v>6</v>
      </c>
      <c r="E78" s="20" t="n">
        <v>17261</v>
      </c>
      <c r="F78" s="20" t="n">
        <v>16428</v>
      </c>
      <c r="G78" s="20" t="n">
        <v>42214</v>
      </c>
      <c r="H78" s="20" t="n">
        <v>43047</v>
      </c>
      <c r="I78" s="31" t="n">
        <v>0.7335</v>
      </c>
      <c r="J78" s="32" t="b">
        <f aca="false">FALSE()</f>
        <v>0</v>
      </c>
      <c r="K78" s="32" t="b">
        <f aca="false">FALSE()</f>
        <v>0</v>
      </c>
      <c r="L78" s="32" t="b">
        <f aca="false">FALSE()</f>
        <v>0</v>
      </c>
      <c r="M78" s="32" t="b">
        <f aca="false">FALSE()</f>
        <v>0</v>
      </c>
      <c r="N78" s="6" t="str">
        <f aca="false">IF(OR(AND(B78=2024,C78&gt;=43),AND(B78=2025,C78&lt;=13)),"Temporada 2024-25",IF(AND(B78=2025,C78&gt;=36,C78&lt;=42),"Sep-oct 2025","Resto del año"))</f>
        <v>Resto del año</v>
      </c>
    </row>
    <row r="79" customFormat="false" ht="15" hidden="false" customHeight="false" outlineLevel="0" collapsed="false">
      <c r="A79" s="7" t="s">
        <v>48</v>
      </c>
      <c r="B79" s="7" t="n">
        <v>2025</v>
      </c>
      <c r="C79" s="7" t="n">
        <v>26</v>
      </c>
      <c r="D79" s="7" t="n">
        <v>6</v>
      </c>
      <c r="E79" s="20" t="n">
        <v>15859</v>
      </c>
      <c r="F79" s="20" t="n">
        <v>15570</v>
      </c>
      <c r="G79" s="20" t="n">
        <v>42949</v>
      </c>
      <c r="H79" s="20" t="n">
        <v>45241</v>
      </c>
      <c r="I79" s="31" t="n">
        <v>0.7126</v>
      </c>
      <c r="J79" s="32" t="b">
        <f aca="false">FALSE()</f>
        <v>0</v>
      </c>
      <c r="K79" s="32" t="b">
        <f aca="false">FALSE()</f>
        <v>0</v>
      </c>
      <c r="L79" s="32" t="b">
        <f aca="false">FALSE()</f>
        <v>0</v>
      </c>
      <c r="M79" s="32" t="b">
        <f aca="false">FALSE()</f>
        <v>0</v>
      </c>
      <c r="N79" s="6" t="str">
        <f aca="false">IF(OR(AND(B79=2024,C79&gt;=43),AND(B79=2025,C79&lt;=13)),"Temporada 2024-25",IF(AND(B79=2025,C79&gt;=36,C79&lt;=42),"Sep-oct 2025","Resto del año"))</f>
        <v>Resto del año</v>
      </c>
    </row>
    <row r="80" customFormat="false" ht="15" hidden="false" customHeight="false" outlineLevel="0" collapsed="false">
      <c r="A80" s="7" t="s">
        <v>48</v>
      </c>
      <c r="B80" s="7" t="n">
        <v>2025</v>
      </c>
      <c r="C80" s="7" t="n">
        <v>27</v>
      </c>
      <c r="D80" s="7" t="n">
        <v>6</v>
      </c>
      <c r="E80" s="20" t="n">
        <v>16353</v>
      </c>
      <c r="F80" s="20" t="n">
        <v>16770</v>
      </c>
      <c r="G80" s="20" t="n">
        <v>41243</v>
      </c>
      <c r="H80" s="20" t="n">
        <v>41320</v>
      </c>
      <c r="I80" s="31" t="n">
        <v>0.7152</v>
      </c>
      <c r="J80" s="32" t="b">
        <f aca="false">FALSE()</f>
        <v>0</v>
      </c>
      <c r="K80" s="32" t="b">
        <f aca="false">FALSE()</f>
        <v>0</v>
      </c>
      <c r="L80" s="32" t="b">
        <f aca="false">FALSE()</f>
        <v>0</v>
      </c>
      <c r="M80" s="32" t="b">
        <f aca="false">FALSE()</f>
        <v>0</v>
      </c>
      <c r="N80" s="6" t="str">
        <f aca="false">IF(OR(AND(B80=2024,C80&gt;=43),AND(B80=2025,C80&lt;=13)),"Temporada 2024-25",IF(AND(B80=2025,C80&gt;=36,C80&lt;=42),"Sep-oct 2025","Resto del año"))</f>
        <v>Resto del año</v>
      </c>
    </row>
    <row r="81" customFormat="false" ht="15" hidden="false" customHeight="false" outlineLevel="0" collapsed="false">
      <c r="A81" s="7" t="s">
        <v>48</v>
      </c>
      <c r="B81" s="7" t="n">
        <v>2025</v>
      </c>
      <c r="C81" s="7" t="n">
        <v>28</v>
      </c>
      <c r="D81" s="7" t="n">
        <v>7</v>
      </c>
      <c r="E81" s="20" t="n">
        <v>14379</v>
      </c>
      <c r="F81" s="20" t="n">
        <v>16336</v>
      </c>
      <c r="G81" s="20" t="n">
        <v>42077</v>
      </c>
      <c r="H81" s="20" t="n">
        <v>41546</v>
      </c>
      <c r="I81" s="31" t="n">
        <v>0.7072</v>
      </c>
      <c r="J81" s="32" t="b">
        <f aca="false">FALSE()</f>
        <v>0</v>
      </c>
      <c r="K81" s="32" t="b">
        <f aca="false">FALSE()</f>
        <v>0</v>
      </c>
      <c r="L81" s="32" t="b">
        <f aca="false">FALSE()</f>
        <v>0</v>
      </c>
      <c r="M81" s="32" t="b">
        <f aca="false">FALSE()</f>
        <v>0</v>
      </c>
      <c r="N81" s="6" t="str">
        <f aca="false">IF(OR(AND(B81=2024,C81&gt;=43),AND(B81=2025,C81&lt;=13)),"Temporada 2024-25",IF(AND(B81=2025,C81&gt;=36,C81&lt;=42),"Sep-oct 2025","Resto del año"))</f>
        <v>Resto del año</v>
      </c>
    </row>
    <row r="82" customFormat="false" ht="15" hidden="false" customHeight="false" outlineLevel="0" collapsed="false">
      <c r="A82" s="7" t="s">
        <v>48</v>
      </c>
      <c r="B82" s="7" t="n">
        <v>2025</v>
      </c>
      <c r="C82" s="7" t="n">
        <v>29</v>
      </c>
      <c r="D82" s="7" t="n">
        <v>7</v>
      </c>
      <c r="E82" s="20" t="n">
        <v>16795</v>
      </c>
      <c r="F82" s="20" t="n">
        <v>16157</v>
      </c>
      <c r="G82" s="20" t="n">
        <v>41425</v>
      </c>
      <c r="H82" s="20" t="n">
        <v>41203</v>
      </c>
      <c r="I82" s="31" t="n">
        <v>0.7108</v>
      </c>
      <c r="J82" s="32" t="b">
        <f aca="false">FALSE()</f>
        <v>0</v>
      </c>
      <c r="K82" s="32" t="b">
        <f aca="false">FALSE()</f>
        <v>0</v>
      </c>
      <c r="L82" s="32" t="b">
        <f aca="false">FALSE()</f>
        <v>0</v>
      </c>
      <c r="M82" s="32" t="b">
        <f aca="false">FALSE()</f>
        <v>0</v>
      </c>
      <c r="N82" s="6" t="str">
        <f aca="false">IF(OR(AND(B82=2024,C82&gt;=43),AND(B82=2025,C82&lt;=13)),"Temporada 2024-25",IF(AND(B82=2025,C82&gt;=36,C82&lt;=42),"Sep-oct 2025","Resto del año"))</f>
        <v>Resto del año</v>
      </c>
    </row>
    <row r="83" customFormat="false" ht="15" hidden="false" customHeight="false" outlineLevel="0" collapsed="false">
      <c r="A83" s="7" t="s">
        <v>48</v>
      </c>
      <c r="B83" s="7" t="n">
        <v>2025</v>
      </c>
      <c r="C83" s="7" t="n">
        <v>30</v>
      </c>
      <c r="D83" s="7" t="n">
        <v>7</v>
      </c>
      <c r="E83" s="20" t="n">
        <v>16235</v>
      </c>
      <c r="F83" s="20" t="n">
        <v>16450</v>
      </c>
      <c r="G83" s="20" t="n">
        <v>44870</v>
      </c>
      <c r="H83" s="20" t="n">
        <v>41435</v>
      </c>
      <c r="I83" s="31" t="n">
        <v>0.7178</v>
      </c>
      <c r="J83" s="32" t="b">
        <f aca="false">FALSE()</f>
        <v>0</v>
      </c>
      <c r="K83" s="32" t="b">
        <f aca="false">FALSE()</f>
        <v>0</v>
      </c>
      <c r="L83" s="32" t="b">
        <f aca="false">FALSE()</f>
        <v>0</v>
      </c>
      <c r="M83" s="32" t="b">
        <f aca="false">FALSE()</f>
        <v>0</v>
      </c>
      <c r="N83" s="6" t="str">
        <f aca="false">IF(OR(AND(B83=2024,C83&gt;=43),AND(B83=2025,C83&lt;=13)),"Temporada 2024-25",IF(AND(B83=2025,C83&gt;=36,C83&lt;=42),"Sep-oct 2025","Resto del año"))</f>
        <v>Resto del año</v>
      </c>
    </row>
    <row r="84" customFormat="false" ht="15" hidden="false" customHeight="false" outlineLevel="0" collapsed="false">
      <c r="A84" s="7" t="s">
        <v>48</v>
      </c>
      <c r="B84" s="7" t="n">
        <v>2025</v>
      </c>
      <c r="C84" s="7" t="n">
        <v>31</v>
      </c>
      <c r="D84" s="7" t="n">
        <v>7</v>
      </c>
      <c r="E84" s="20" t="n">
        <v>14611</v>
      </c>
      <c r="F84" s="20" t="n">
        <v>15141</v>
      </c>
      <c r="G84" s="20" t="n">
        <v>45212</v>
      </c>
      <c r="H84" s="20" t="n">
        <v>41935</v>
      </c>
      <c r="I84" s="31" t="n">
        <v>0.7129</v>
      </c>
      <c r="J84" s="32" t="b">
        <f aca="false">FALSE()</f>
        <v>0</v>
      </c>
      <c r="K84" s="32" t="b">
        <f aca="false">FALSE()</f>
        <v>0</v>
      </c>
      <c r="L84" s="32" t="b">
        <f aca="false">FALSE()</f>
        <v>0</v>
      </c>
      <c r="M84" s="32" t="b">
        <f aca="false">FALSE()</f>
        <v>0</v>
      </c>
      <c r="N84" s="6" t="str">
        <f aca="false">IF(OR(AND(B84=2024,C84&gt;=43),AND(B84=2025,C84&lt;=13)),"Temporada 2024-25",IF(AND(B84=2025,C84&gt;=36,C84&lt;=42),"Sep-oct 2025","Resto del año"))</f>
        <v>Resto del año</v>
      </c>
    </row>
    <row r="85" customFormat="false" ht="15" hidden="false" customHeight="false" outlineLevel="0" collapsed="false">
      <c r="A85" s="7" t="s">
        <v>48</v>
      </c>
      <c r="B85" s="7" t="n">
        <v>2025</v>
      </c>
      <c r="C85" s="7" t="n">
        <v>32</v>
      </c>
      <c r="D85" s="7" t="n">
        <v>8</v>
      </c>
      <c r="E85" s="20" t="n">
        <v>14159</v>
      </c>
      <c r="F85" s="20" t="n">
        <v>14641</v>
      </c>
      <c r="G85" s="20" t="n">
        <v>41714</v>
      </c>
      <c r="H85" s="20" t="n">
        <v>39627</v>
      </c>
      <c r="I85" s="31" t="n">
        <v>0.7114</v>
      </c>
      <c r="J85" s="32" t="b">
        <f aca="false">FALSE()</f>
        <v>0</v>
      </c>
      <c r="K85" s="32" t="b">
        <f aca="false">FALSE()</f>
        <v>0</v>
      </c>
      <c r="L85" s="32" t="b">
        <f aca="false">FALSE()</f>
        <v>0</v>
      </c>
      <c r="M85" s="32" t="b">
        <f aca="false">FALSE()</f>
        <v>0</v>
      </c>
      <c r="N85" s="6" t="str">
        <f aca="false">IF(OR(AND(B85=2024,C85&gt;=43),AND(B85=2025,C85&lt;=13)),"Temporada 2024-25",IF(AND(B85=2025,C85&gt;=36,C85&lt;=42),"Sep-oct 2025","Resto del año"))</f>
        <v>Resto del año</v>
      </c>
    </row>
    <row r="86" customFormat="false" ht="15" hidden="false" customHeight="false" outlineLevel="0" collapsed="false">
      <c r="A86" s="7" t="s">
        <v>48</v>
      </c>
      <c r="B86" s="7" t="n">
        <v>2025</v>
      </c>
      <c r="C86" s="7" t="n">
        <v>33</v>
      </c>
      <c r="D86" s="7" t="n">
        <v>8</v>
      </c>
      <c r="E86" s="20" t="n">
        <v>15847</v>
      </c>
      <c r="F86" s="20" t="n">
        <v>16176</v>
      </c>
      <c r="G86" s="20" t="n">
        <v>42775</v>
      </c>
      <c r="H86" s="20" t="n">
        <v>43690</v>
      </c>
      <c r="I86" s="31" t="n">
        <v>0.7035</v>
      </c>
      <c r="J86" s="32" t="b">
        <f aca="false">FALSE()</f>
        <v>0</v>
      </c>
      <c r="K86" s="32" t="b">
        <f aca="false">FALSE()</f>
        <v>0</v>
      </c>
      <c r="L86" s="32" t="b">
        <f aca="false">FALSE()</f>
        <v>0</v>
      </c>
      <c r="M86" s="32" t="b">
        <f aca="false">FALSE()</f>
        <v>0</v>
      </c>
      <c r="N86" s="6" t="str">
        <f aca="false">IF(OR(AND(B86=2024,C86&gt;=43),AND(B86=2025,C86&lt;=13)),"Temporada 2024-25",IF(AND(B86=2025,C86&gt;=36,C86&lt;=42),"Sep-oct 2025","Resto del año"))</f>
        <v>Resto del año</v>
      </c>
    </row>
    <row r="87" customFormat="false" ht="15" hidden="false" customHeight="false" outlineLevel="0" collapsed="false">
      <c r="A87" s="7" t="s">
        <v>48</v>
      </c>
      <c r="B87" s="7" t="n">
        <v>2025</v>
      </c>
      <c r="C87" s="7" t="n">
        <v>34</v>
      </c>
      <c r="D87" s="7" t="n">
        <v>8</v>
      </c>
      <c r="E87" s="20" t="n">
        <v>17929</v>
      </c>
      <c r="F87" s="20" t="n">
        <v>17139</v>
      </c>
      <c r="G87" s="20" t="n">
        <v>43012</v>
      </c>
      <c r="H87" s="20" t="n">
        <v>42182</v>
      </c>
      <c r="I87" s="31" t="n">
        <v>0.7165</v>
      </c>
      <c r="J87" s="32" t="b">
        <f aca="false">FALSE()</f>
        <v>0</v>
      </c>
      <c r="K87" s="32" t="b">
        <f aca="false">FALSE()</f>
        <v>0</v>
      </c>
      <c r="L87" s="32" t="b">
        <f aca="false">FALSE()</f>
        <v>0</v>
      </c>
      <c r="M87" s="32" t="b">
        <f aca="false">FALSE()</f>
        <v>0</v>
      </c>
      <c r="N87" s="6" t="str">
        <f aca="false">IF(OR(AND(B87=2024,C87&gt;=43),AND(B87=2025,C87&lt;=13)),"Temporada 2024-25",IF(AND(B87=2025,C87&gt;=36,C87&lt;=42),"Sep-oct 2025","Resto del año"))</f>
        <v>Resto del año</v>
      </c>
    </row>
    <row r="88" customFormat="false" ht="15" hidden="false" customHeight="false" outlineLevel="0" collapsed="false">
      <c r="A88" s="7" t="s">
        <v>48</v>
      </c>
      <c r="B88" s="7" t="n">
        <v>2025</v>
      </c>
      <c r="C88" s="7" t="n">
        <v>35</v>
      </c>
      <c r="D88" s="7" t="n">
        <v>8</v>
      </c>
      <c r="E88" s="20" t="n">
        <v>15296</v>
      </c>
      <c r="F88" s="20" t="n">
        <v>15449</v>
      </c>
      <c r="G88" s="20" t="n">
        <v>41547</v>
      </c>
      <c r="H88" s="20" t="n">
        <v>39126</v>
      </c>
      <c r="I88" s="31" t="n">
        <v>0.7182</v>
      </c>
      <c r="J88" s="32" t="b">
        <f aca="false">FALSE()</f>
        <v>0</v>
      </c>
      <c r="K88" s="32" t="b">
        <f aca="false">FALSE()</f>
        <v>0</v>
      </c>
      <c r="L88" s="32" t="b">
        <f aca="false">FALSE()</f>
        <v>0</v>
      </c>
      <c r="M88" s="32" t="b">
        <f aca="false">FALSE()</f>
        <v>0</v>
      </c>
      <c r="N88" s="6" t="str">
        <f aca="false">IF(OR(AND(B88=2024,C88&gt;=43),AND(B88=2025,C88&lt;=13)),"Temporada 2024-25",IF(AND(B88=2025,C88&gt;=36,C88&lt;=42),"Sep-oct 2025","Resto del año"))</f>
        <v>Resto del año</v>
      </c>
    </row>
    <row r="89" customFormat="false" ht="15" hidden="false" customHeight="false" outlineLevel="0" collapsed="false">
      <c r="A89" s="7" t="s">
        <v>48</v>
      </c>
      <c r="B89" s="7" t="n">
        <v>2025</v>
      </c>
      <c r="C89" s="7" t="n">
        <v>36</v>
      </c>
      <c r="D89" s="7" t="n">
        <v>9</v>
      </c>
      <c r="E89" s="20" t="n">
        <v>15805</v>
      </c>
      <c r="F89" s="20" t="n">
        <v>15996</v>
      </c>
      <c r="G89" s="20" t="n">
        <v>46190</v>
      </c>
      <c r="H89" s="20" t="n">
        <v>42727</v>
      </c>
      <c r="I89" s="31" t="n">
        <v>0.7071</v>
      </c>
      <c r="J89" s="32" t="b">
        <f aca="false">FALSE()</f>
        <v>0</v>
      </c>
      <c r="K89" s="32" t="b">
        <f aca="false">FALSE()</f>
        <v>0</v>
      </c>
      <c r="L89" s="32" t="b">
        <f aca="false">FALSE()</f>
        <v>0</v>
      </c>
      <c r="M89" s="32" t="b">
        <f aca="false">FALSE()</f>
        <v>0</v>
      </c>
      <c r="N89" s="6" t="str">
        <f aca="false">IF(OR(AND(B89=2024,C89&gt;=43),AND(B89=2025,C89&lt;=13)),"Temporada 2024-25",IF(AND(B89=2025,C89&gt;=36,C89&lt;=42),"Sep-oct 2025","Resto del año"))</f>
        <v>Sep-oct 2025</v>
      </c>
    </row>
    <row r="90" customFormat="false" ht="15" hidden="false" customHeight="false" outlineLevel="0" collapsed="false">
      <c r="A90" s="7" t="s">
        <v>48</v>
      </c>
      <c r="B90" s="7" t="n">
        <v>2025</v>
      </c>
      <c r="C90" s="7" t="n">
        <v>37</v>
      </c>
      <c r="D90" s="7" t="n">
        <v>9</v>
      </c>
      <c r="E90" s="20" t="n">
        <v>13447</v>
      </c>
      <c r="F90" s="20" t="n">
        <v>15001</v>
      </c>
      <c r="G90" s="20" t="n">
        <v>36331</v>
      </c>
      <c r="H90" s="20" t="n">
        <v>39212</v>
      </c>
      <c r="I90" s="31" t="n">
        <v>0.7025</v>
      </c>
      <c r="J90" s="32" t="b">
        <f aca="false">FALSE()</f>
        <v>0</v>
      </c>
      <c r="K90" s="32" t="b">
        <f aca="false">FALSE()</f>
        <v>0</v>
      </c>
      <c r="L90" s="32" t="b">
        <f aca="false">FALSE()</f>
        <v>0</v>
      </c>
      <c r="M90" s="32" t="b">
        <f aca="false">FALSE()</f>
        <v>0</v>
      </c>
      <c r="N90" s="6" t="str">
        <f aca="false">IF(OR(AND(B90=2024,C90&gt;=43),AND(B90=2025,C90&lt;=13)),"Temporada 2024-25",IF(AND(B90=2025,C90&gt;=36,C90&lt;=42),"Sep-oct 2025","Resto del año"))</f>
        <v>Sep-oct 2025</v>
      </c>
    </row>
    <row r="91" customFormat="false" ht="15" hidden="false" customHeight="false" outlineLevel="0" collapsed="false">
      <c r="A91" s="7" t="s">
        <v>48</v>
      </c>
      <c r="B91" s="7" t="n">
        <v>2025</v>
      </c>
      <c r="C91" s="7" t="n">
        <v>38</v>
      </c>
      <c r="D91" s="7" t="n">
        <v>9</v>
      </c>
      <c r="E91" s="20" t="n">
        <v>14937</v>
      </c>
      <c r="F91" s="20" t="n">
        <v>15934</v>
      </c>
      <c r="G91" s="20" t="n">
        <v>41657</v>
      </c>
      <c r="H91" s="20" t="n">
        <v>41394</v>
      </c>
      <c r="I91" s="31" t="n">
        <v>0.6999</v>
      </c>
      <c r="J91" s="32" t="b">
        <f aca="false">FALSE()</f>
        <v>0</v>
      </c>
      <c r="K91" s="32" t="b">
        <f aca="false">FALSE()</f>
        <v>0</v>
      </c>
      <c r="L91" s="32" t="b">
        <f aca="false">FALSE()</f>
        <v>0</v>
      </c>
      <c r="M91" s="32" t="b">
        <f aca="false">FALSE()</f>
        <v>0</v>
      </c>
      <c r="N91" s="6" t="str">
        <f aca="false">IF(OR(AND(B91=2024,C91&gt;=43),AND(B91=2025,C91&lt;=13)),"Temporada 2024-25",IF(AND(B91=2025,C91&gt;=36,C91&lt;=42),"Sep-oct 2025","Resto del año"))</f>
        <v>Sep-oct 2025</v>
      </c>
    </row>
    <row r="92" customFormat="false" ht="15" hidden="false" customHeight="false" outlineLevel="0" collapsed="false">
      <c r="A92" s="7" t="s">
        <v>48</v>
      </c>
      <c r="B92" s="7" t="n">
        <v>2025</v>
      </c>
      <c r="C92" s="7" t="n">
        <v>39</v>
      </c>
      <c r="D92" s="7" t="n">
        <v>9</v>
      </c>
      <c r="E92" s="20" t="n">
        <v>14410</v>
      </c>
      <c r="F92" s="20" t="n">
        <v>14575</v>
      </c>
      <c r="G92" s="20" t="n">
        <v>43148</v>
      </c>
      <c r="H92" s="20" t="n">
        <v>39291</v>
      </c>
      <c r="I92" s="31" t="n">
        <v>0.6973</v>
      </c>
      <c r="J92" s="32" t="b">
        <f aca="false">FALSE()</f>
        <v>0</v>
      </c>
      <c r="K92" s="32" t="b">
        <f aca="false">FALSE()</f>
        <v>0</v>
      </c>
      <c r="L92" s="32" t="b">
        <f aca="false">FALSE()</f>
        <v>0</v>
      </c>
      <c r="M92" s="32" t="b">
        <f aca="false">FALSE()</f>
        <v>0</v>
      </c>
      <c r="N92" s="6" t="str">
        <f aca="false">IF(OR(AND(B92=2024,C92&gt;=43),AND(B92=2025,C92&lt;=13)),"Temporada 2024-25",IF(AND(B92=2025,C92&gt;=36,C92&lt;=42),"Sep-oct 2025","Resto del año"))</f>
        <v>Sep-oct 2025</v>
      </c>
    </row>
    <row r="93" customFormat="false" ht="15" hidden="false" customHeight="false" outlineLevel="0" collapsed="false">
      <c r="A93" s="7" t="s">
        <v>48</v>
      </c>
      <c r="B93" s="7" t="n">
        <v>2025</v>
      </c>
      <c r="C93" s="7" t="n">
        <v>40</v>
      </c>
      <c r="D93" s="7" t="n">
        <v>9</v>
      </c>
      <c r="E93" s="20" t="n">
        <v>11037</v>
      </c>
      <c r="F93" s="20" t="n">
        <v>14727</v>
      </c>
      <c r="G93" s="20" t="n">
        <v>37354</v>
      </c>
      <c r="H93" s="20" t="n">
        <v>39107</v>
      </c>
      <c r="I93" s="31" t="n">
        <v>0.698</v>
      </c>
      <c r="J93" s="32" t="b">
        <f aca="false">FALSE()</f>
        <v>0</v>
      </c>
      <c r="K93" s="32" t="b">
        <f aca="false">FALSE()</f>
        <v>0</v>
      </c>
      <c r="L93" s="32" t="b">
        <f aca="false">FALSE()</f>
        <v>0</v>
      </c>
      <c r="M93" s="32" t="b">
        <f aca="false">FALSE()</f>
        <v>0</v>
      </c>
      <c r="N93" s="6" t="str">
        <f aca="false">IF(OR(AND(B93=2024,C93&gt;=43),AND(B93=2025,C93&lt;=13)),"Temporada 2024-25",IF(AND(B93=2025,C93&gt;=36,C93&lt;=42),"Sep-oct 2025","Resto del año"))</f>
        <v>Sep-oct 2025</v>
      </c>
    </row>
    <row r="94" customFormat="false" ht="15" hidden="false" customHeight="false" outlineLevel="0" collapsed="false">
      <c r="A94" s="7" t="s">
        <v>48</v>
      </c>
      <c r="B94" s="7" t="n">
        <v>2025</v>
      </c>
      <c r="C94" s="7" t="n">
        <v>41</v>
      </c>
      <c r="D94" s="7" t="n">
        <v>10</v>
      </c>
      <c r="E94" s="20" t="n">
        <v>13463</v>
      </c>
      <c r="F94" s="20" t="n">
        <v>16356</v>
      </c>
      <c r="G94" s="20" t="n">
        <v>39668</v>
      </c>
      <c r="H94" s="20" t="n">
        <v>40884</v>
      </c>
      <c r="I94" s="31" t="n">
        <v>0.7019</v>
      </c>
      <c r="J94" s="32" t="b">
        <f aca="false">FALSE()</f>
        <v>0</v>
      </c>
      <c r="K94" s="32" t="b">
        <f aca="false">FALSE()</f>
        <v>0</v>
      </c>
      <c r="L94" s="32" t="b">
        <f aca="false">FALSE()</f>
        <v>0</v>
      </c>
      <c r="M94" s="32" t="b">
        <f aca="false">FALSE()</f>
        <v>0</v>
      </c>
      <c r="N94" s="6" t="str">
        <f aca="false">IF(OR(AND(B94=2024,C94&gt;=43),AND(B94=2025,C94&lt;=13)),"Temporada 2024-25",IF(AND(B94=2025,C94&gt;=36,C94&lt;=42),"Sep-oct 2025","Resto del año"))</f>
        <v>Sep-oct 2025</v>
      </c>
    </row>
    <row r="95" customFormat="false" ht="15" hidden="false" customHeight="false" outlineLevel="0" collapsed="false">
      <c r="A95" s="7" t="s">
        <v>48</v>
      </c>
      <c r="B95" s="7" t="n">
        <v>2025</v>
      </c>
      <c r="C95" s="7" t="n">
        <v>42</v>
      </c>
      <c r="D95" s="7" t="n">
        <v>10</v>
      </c>
      <c r="E95" s="20" t="n">
        <v>13300</v>
      </c>
      <c r="F95" s="20" t="n">
        <v>15987</v>
      </c>
      <c r="G95" s="20" t="n">
        <v>41630</v>
      </c>
      <c r="H95" s="20" t="n">
        <v>38941</v>
      </c>
      <c r="I95" s="31" t="n">
        <v>0.7092</v>
      </c>
      <c r="J95" s="32" t="b">
        <f aca="false">FALSE()</f>
        <v>0</v>
      </c>
      <c r="K95" s="32" t="b">
        <f aca="false">FALSE()</f>
        <v>0</v>
      </c>
      <c r="L95" s="32" t="b">
        <f aca="false">FALSE()</f>
        <v>0</v>
      </c>
      <c r="M95" s="32" t="b">
        <f aca="false">FALSE()</f>
        <v>0</v>
      </c>
      <c r="N95" s="6" t="str">
        <f aca="false">IF(OR(AND(B95=2024,C95&gt;=43),AND(B95=2025,C95&lt;=13)),"Temporada 2024-25",IF(AND(B95=2025,C95&gt;=36,C95&lt;=42),"Sep-oct 2025","Resto del año"))</f>
        <v>Sep-oct 2025</v>
      </c>
    </row>
    <row r="96" customFormat="false" ht="15" hidden="false" customHeight="false" outlineLevel="0" collapsed="false">
      <c r="A96" s="7" t="s">
        <v>46</v>
      </c>
      <c r="B96" s="7" t="n">
        <v>2024</v>
      </c>
      <c r="C96" s="7" t="n">
        <v>1</v>
      </c>
      <c r="D96" s="7" t="n">
        <v>1</v>
      </c>
      <c r="E96" s="20" t="n">
        <v>13638</v>
      </c>
      <c r="F96" s="20" t="n">
        <v>14754</v>
      </c>
      <c r="G96" s="20" t="n">
        <v>147177</v>
      </c>
      <c r="H96" s="20" t="n">
        <v>141520</v>
      </c>
      <c r="I96" s="31" t="n">
        <v>0.6577</v>
      </c>
      <c r="J96" s="32" t="b">
        <f aca="false">FALSE()</f>
        <v>0</v>
      </c>
      <c r="K96" s="32" t="b">
        <f aca="false">FALSE()</f>
        <v>0</v>
      </c>
      <c r="L96" s="32" t="b">
        <f aca="false">FALSE()</f>
        <v>0</v>
      </c>
      <c r="M96" s="32" t="b">
        <f aca="false">FALSE()</f>
        <v>0</v>
      </c>
      <c r="N96" s="6" t="str">
        <f aca="false">IF(OR(AND(B96=2024,C96&gt;=43),AND(B96=2025,C96&lt;=13)),"Temporada 2024-25",IF(AND(B96=2025,C96&gt;=36,C96&lt;=42),"Sep-oct 2025","Resto del año"))</f>
        <v>Resto del año</v>
      </c>
    </row>
    <row r="97" customFormat="false" ht="15" hidden="false" customHeight="false" outlineLevel="0" collapsed="false">
      <c r="A97" s="7" t="s">
        <v>46</v>
      </c>
      <c r="B97" s="7" t="n">
        <v>2024</v>
      </c>
      <c r="C97" s="7" t="n">
        <v>2</v>
      </c>
      <c r="D97" s="7" t="n">
        <v>1</v>
      </c>
      <c r="E97" s="20" t="n">
        <v>10093</v>
      </c>
      <c r="F97" s="20" t="n">
        <v>10884</v>
      </c>
      <c r="G97" s="20" t="n">
        <v>118061</v>
      </c>
      <c r="H97" s="20" t="n">
        <v>118707</v>
      </c>
      <c r="I97" s="31" t="n">
        <v>0.6063</v>
      </c>
      <c r="J97" s="32" t="b">
        <f aca="false">FALSE()</f>
        <v>0</v>
      </c>
      <c r="K97" s="32" t="b">
        <f aca="false">FALSE()</f>
        <v>0</v>
      </c>
      <c r="L97" s="32" t="b">
        <f aca="false">FALSE()</f>
        <v>0</v>
      </c>
      <c r="M97" s="32" t="b">
        <f aca="false">FALSE()</f>
        <v>0</v>
      </c>
      <c r="N97" s="6" t="str">
        <f aca="false">IF(OR(AND(B97=2024,C97&gt;=43),AND(B97=2025,C97&lt;=13)),"Temporada 2024-25",IF(AND(B97=2025,C97&gt;=36,C97&lt;=42),"Sep-oct 2025","Resto del año"))</f>
        <v>Resto del año</v>
      </c>
    </row>
    <row r="98" customFormat="false" ht="15" hidden="false" customHeight="false" outlineLevel="0" collapsed="false">
      <c r="A98" s="7" t="s">
        <v>46</v>
      </c>
      <c r="B98" s="7" t="n">
        <v>2024</v>
      </c>
      <c r="C98" s="7" t="n">
        <v>3</v>
      </c>
      <c r="D98" s="7" t="n">
        <v>1</v>
      </c>
      <c r="E98" s="20" t="n">
        <v>10640</v>
      </c>
      <c r="F98" s="20" t="n">
        <v>10861</v>
      </c>
      <c r="G98" s="20" t="n">
        <v>128799</v>
      </c>
      <c r="H98" s="20" t="n">
        <v>122768</v>
      </c>
      <c r="I98" s="31" t="n">
        <v>0.5516</v>
      </c>
      <c r="J98" s="32" t="b">
        <f aca="false">FALSE()</f>
        <v>0</v>
      </c>
      <c r="K98" s="32" t="b">
        <f aca="false">FALSE()</f>
        <v>0</v>
      </c>
      <c r="L98" s="32" t="b">
        <f aca="false">FALSE()</f>
        <v>0</v>
      </c>
      <c r="M98" s="32" t="b">
        <f aca="false">FALSE()</f>
        <v>0</v>
      </c>
      <c r="N98" s="6" t="str">
        <f aca="false">IF(OR(AND(B98=2024,C98&gt;=43),AND(B98=2025,C98&lt;=13)),"Temporada 2024-25",IF(AND(B98=2025,C98&gt;=36,C98&lt;=42),"Sep-oct 2025","Resto del año"))</f>
        <v>Resto del año</v>
      </c>
    </row>
    <row r="99" customFormat="false" ht="15" hidden="false" customHeight="false" outlineLevel="0" collapsed="false">
      <c r="A99" s="7" t="s">
        <v>46</v>
      </c>
      <c r="B99" s="7" t="n">
        <v>2024</v>
      </c>
      <c r="C99" s="7" t="n">
        <v>4</v>
      </c>
      <c r="D99" s="7" t="n">
        <v>1</v>
      </c>
      <c r="E99" s="20" t="n">
        <v>11156</v>
      </c>
      <c r="F99" s="20" t="n">
        <v>11125</v>
      </c>
      <c r="G99" s="20" t="n">
        <v>128204</v>
      </c>
      <c r="H99" s="20" t="n">
        <v>123494</v>
      </c>
      <c r="I99" s="31" t="n">
        <v>0.5016</v>
      </c>
      <c r="J99" s="32" t="b">
        <f aca="false">FALSE()</f>
        <v>0</v>
      </c>
      <c r="K99" s="32" t="b">
        <f aca="false">FALSE()</f>
        <v>0</v>
      </c>
      <c r="L99" s="32" t="b">
        <f aca="false">FALSE()</f>
        <v>0</v>
      </c>
      <c r="M99" s="32" t="b">
        <f aca="false">FALSE()</f>
        <v>0</v>
      </c>
      <c r="N99" s="6" t="str">
        <f aca="false">IF(OR(AND(B99=2024,C99&gt;=43),AND(B99=2025,C99&lt;=13)),"Temporada 2024-25",IF(AND(B99=2025,C99&gt;=36,C99&lt;=42),"Sep-oct 2025","Resto del año"))</f>
        <v>Resto del año</v>
      </c>
    </row>
    <row r="100" customFormat="false" ht="15" hidden="false" customHeight="false" outlineLevel="0" collapsed="false">
      <c r="A100" s="7" t="s">
        <v>46</v>
      </c>
      <c r="B100" s="7" t="n">
        <v>2024</v>
      </c>
      <c r="C100" s="7" t="n">
        <v>5</v>
      </c>
      <c r="D100" s="7" t="n">
        <v>1</v>
      </c>
      <c r="E100" s="20" t="n">
        <v>13189</v>
      </c>
      <c r="F100" s="20" t="n">
        <v>14459</v>
      </c>
      <c r="G100" s="20" t="n">
        <v>131649</v>
      </c>
      <c r="H100" s="20" t="n">
        <v>135690</v>
      </c>
      <c r="I100" s="31" t="n">
        <v>0.4799</v>
      </c>
      <c r="J100" s="32" t="b">
        <f aca="false">FALSE()</f>
        <v>0</v>
      </c>
      <c r="K100" s="32" t="b">
        <f aca="false">FALSE()</f>
        <v>0</v>
      </c>
      <c r="L100" s="32" t="b">
        <f aca="false">FALSE()</f>
        <v>0</v>
      </c>
      <c r="M100" s="32" t="b">
        <f aca="false">FALSE()</f>
        <v>0</v>
      </c>
      <c r="N100" s="6" t="str">
        <f aca="false">IF(OR(AND(B100=2024,C100&gt;=43),AND(B100=2025,C100&lt;=13)),"Temporada 2024-25",IF(AND(B100=2025,C100&gt;=36,C100&lt;=42),"Sep-oct 2025","Resto del año"))</f>
        <v>Resto del año</v>
      </c>
    </row>
    <row r="101" customFormat="false" ht="15" hidden="false" customHeight="false" outlineLevel="0" collapsed="false">
      <c r="A101" s="7" t="s">
        <v>46</v>
      </c>
      <c r="B101" s="7" t="n">
        <v>2024</v>
      </c>
      <c r="C101" s="7" t="n">
        <v>6</v>
      </c>
      <c r="D101" s="7" t="n">
        <v>2</v>
      </c>
      <c r="E101" s="20" t="n">
        <v>13676</v>
      </c>
      <c r="F101" s="20" t="n">
        <v>14870</v>
      </c>
      <c r="G101" s="20" t="n">
        <v>133815</v>
      </c>
      <c r="H101" s="20" t="n">
        <v>130680</v>
      </c>
      <c r="I101" s="31" t="n">
        <v>0.4665</v>
      </c>
      <c r="J101" s="32" t="b">
        <f aca="false">FALSE()</f>
        <v>0</v>
      </c>
      <c r="K101" s="32" t="b">
        <f aca="false">FALSE()</f>
        <v>0</v>
      </c>
      <c r="L101" s="32" t="b">
        <f aca="false">FALSE()</f>
        <v>0</v>
      </c>
      <c r="M101" s="32" t="b">
        <f aca="false">FALSE()</f>
        <v>0</v>
      </c>
      <c r="N101" s="6" t="str">
        <f aca="false">IF(OR(AND(B101=2024,C101&gt;=43),AND(B101=2025,C101&lt;=13)),"Temporada 2024-25",IF(AND(B101=2025,C101&gt;=36,C101&lt;=42),"Sep-oct 2025","Resto del año"))</f>
        <v>Resto del año</v>
      </c>
    </row>
    <row r="102" customFormat="false" ht="15" hidden="false" customHeight="false" outlineLevel="0" collapsed="false">
      <c r="A102" s="7" t="s">
        <v>46</v>
      </c>
      <c r="B102" s="7" t="n">
        <v>2024</v>
      </c>
      <c r="C102" s="7" t="n">
        <v>7</v>
      </c>
      <c r="D102" s="7" t="n">
        <v>2</v>
      </c>
      <c r="E102" s="20" t="n">
        <v>15696</v>
      </c>
      <c r="F102" s="20" t="n">
        <v>17674</v>
      </c>
      <c r="G102" s="20" t="n">
        <v>133724</v>
      </c>
      <c r="H102" s="20" t="n">
        <v>133305</v>
      </c>
      <c r="I102" s="31" t="n">
        <v>0.4909</v>
      </c>
      <c r="J102" s="32" t="b">
        <f aca="false">FALSE()</f>
        <v>0</v>
      </c>
      <c r="K102" s="32" t="b">
        <f aca="false">FALSE()</f>
        <v>0</v>
      </c>
      <c r="L102" s="32" t="b">
        <f aca="false">FALSE()</f>
        <v>0</v>
      </c>
      <c r="M102" s="32" t="b">
        <f aca="false">FALSE()</f>
        <v>0</v>
      </c>
      <c r="N102" s="6" t="str">
        <f aca="false">IF(OR(AND(B102=2024,C102&gt;=43),AND(B102=2025,C102&lt;=13)),"Temporada 2024-25",IF(AND(B102=2025,C102&gt;=36,C102&lt;=42),"Sep-oct 2025","Resto del año"))</f>
        <v>Resto del año</v>
      </c>
    </row>
    <row r="103" customFormat="false" ht="15" hidden="false" customHeight="false" outlineLevel="0" collapsed="false">
      <c r="A103" s="7" t="s">
        <v>46</v>
      </c>
      <c r="B103" s="7" t="n">
        <v>2024</v>
      </c>
      <c r="C103" s="7" t="n">
        <v>8</v>
      </c>
      <c r="D103" s="7" t="n">
        <v>2</v>
      </c>
      <c r="E103" s="20" t="n">
        <v>17948</v>
      </c>
      <c r="F103" s="20" t="n">
        <v>17026</v>
      </c>
      <c r="G103" s="20" t="n">
        <v>128264</v>
      </c>
      <c r="H103" s="20" t="n">
        <v>128300</v>
      </c>
      <c r="I103" s="31" t="n">
        <v>0.504</v>
      </c>
      <c r="J103" s="32" t="b">
        <f aca="false">FALSE()</f>
        <v>0</v>
      </c>
      <c r="K103" s="32" t="b">
        <f aca="false">FALSE()</f>
        <v>0</v>
      </c>
      <c r="L103" s="32" t="b">
        <f aca="false">FALSE()</f>
        <v>0</v>
      </c>
      <c r="M103" s="32" t="b">
        <f aca="false">FALSE()</f>
        <v>0</v>
      </c>
      <c r="N103" s="6" t="str">
        <f aca="false">IF(OR(AND(B103=2024,C103&gt;=43),AND(B103=2025,C103&lt;=13)),"Temporada 2024-25",IF(AND(B103=2025,C103&gt;=36,C103&lt;=42),"Sep-oct 2025","Resto del año"))</f>
        <v>Resto del año</v>
      </c>
    </row>
    <row r="104" customFormat="false" ht="15" hidden="false" customHeight="false" outlineLevel="0" collapsed="false">
      <c r="A104" s="7" t="s">
        <v>46</v>
      </c>
      <c r="B104" s="7" t="n">
        <v>2024</v>
      </c>
      <c r="C104" s="7" t="n">
        <v>9</v>
      </c>
      <c r="D104" s="7" t="n">
        <v>2</v>
      </c>
      <c r="E104" s="20" t="n">
        <v>17465</v>
      </c>
      <c r="F104" s="20" t="n">
        <v>18488</v>
      </c>
      <c r="G104" s="20" t="n">
        <v>142657</v>
      </c>
      <c r="H104" s="20" t="n">
        <v>143663</v>
      </c>
      <c r="I104" s="31" t="n">
        <v>0.5121</v>
      </c>
      <c r="J104" s="32" t="b">
        <f aca="false">FALSE()</f>
        <v>0</v>
      </c>
      <c r="K104" s="32" t="b">
        <f aca="false">FALSE()</f>
        <v>0</v>
      </c>
      <c r="L104" s="32" t="b">
        <f aca="false">FALSE()</f>
        <v>0</v>
      </c>
      <c r="M104" s="32" t="b">
        <f aca="false">FALSE()</f>
        <v>0</v>
      </c>
      <c r="N104" s="6" t="str">
        <f aca="false">IF(OR(AND(B104=2024,C104&gt;=43),AND(B104=2025,C104&lt;=13)),"Temporada 2024-25",IF(AND(B104=2025,C104&gt;=36,C104&lt;=42),"Sep-oct 2025","Resto del año"))</f>
        <v>Resto del año</v>
      </c>
    </row>
    <row r="105" customFormat="false" ht="15" hidden="false" customHeight="false" outlineLevel="0" collapsed="false">
      <c r="A105" s="7" t="s">
        <v>46</v>
      </c>
      <c r="B105" s="7" t="n">
        <v>2024</v>
      </c>
      <c r="C105" s="7" t="n">
        <v>10</v>
      </c>
      <c r="D105" s="7" t="n">
        <v>3</v>
      </c>
      <c r="E105" s="20" t="n">
        <v>17804</v>
      </c>
      <c r="F105" s="20" t="n">
        <v>18444</v>
      </c>
      <c r="G105" s="20" t="n">
        <v>141152</v>
      </c>
      <c r="H105" s="20" t="n">
        <v>142531</v>
      </c>
      <c r="I105" s="31" t="n">
        <v>0.5132</v>
      </c>
      <c r="J105" s="32" t="b">
        <f aca="false">FALSE()</f>
        <v>0</v>
      </c>
      <c r="K105" s="32" t="b">
        <f aca="false">FALSE()</f>
        <v>0</v>
      </c>
      <c r="L105" s="32" t="b">
        <f aca="false">FALSE()</f>
        <v>0</v>
      </c>
      <c r="M105" s="32" t="b">
        <f aca="false">FALSE()</f>
        <v>0</v>
      </c>
      <c r="N105" s="6" t="str">
        <f aca="false">IF(OR(AND(B105=2024,C105&gt;=43),AND(B105=2025,C105&lt;=13)),"Temporada 2024-25",IF(AND(B105=2025,C105&gt;=36,C105&lt;=42),"Sep-oct 2025","Resto del año"))</f>
        <v>Resto del año</v>
      </c>
    </row>
    <row r="106" customFormat="false" ht="15" hidden="false" customHeight="false" outlineLevel="0" collapsed="false">
      <c r="A106" s="7" t="s">
        <v>46</v>
      </c>
      <c r="B106" s="7" t="n">
        <v>2024</v>
      </c>
      <c r="C106" s="7" t="n">
        <v>11</v>
      </c>
      <c r="D106" s="7" t="n">
        <v>3</v>
      </c>
      <c r="E106" s="20" t="n">
        <v>18527</v>
      </c>
      <c r="F106" s="20" t="n">
        <v>18294</v>
      </c>
      <c r="G106" s="20" t="n">
        <v>149859</v>
      </c>
      <c r="H106" s="20" t="n">
        <v>143650</v>
      </c>
      <c r="I106" s="31" t="n">
        <v>0.5158</v>
      </c>
      <c r="J106" s="32" t="b">
        <f aca="false">FALSE()</f>
        <v>0</v>
      </c>
      <c r="K106" s="32" t="b">
        <f aca="false">FALSE()</f>
        <v>0</v>
      </c>
      <c r="L106" s="32" t="b">
        <f aca="false">FALSE()</f>
        <v>0</v>
      </c>
      <c r="M106" s="32" t="b">
        <f aca="false">FALSE()</f>
        <v>0</v>
      </c>
      <c r="N106" s="6" t="str">
        <f aca="false">IF(OR(AND(B106=2024,C106&gt;=43),AND(B106=2025,C106&lt;=13)),"Temporada 2024-25",IF(AND(B106=2025,C106&gt;=36,C106&lt;=42),"Sep-oct 2025","Resto del año"))</f>
        <v>Resto del año</v>
      </c>
    </row>
    <row r="107" customFormat="false" ht="15" hidden="false" customHeight="false" outlineLevel="0" collapsed="false">
      <c r="A107" s="7" t="s">
        <v>46</v>
      </c>
      <c r="B107" s="7" t="n">
        <v>2024</v>
      </c>
      <c r="C107" s="7" t="n">
        <v>12</v>
      </c>
      <c r="D107" s="7" t="n">
        <v>3</v>
      </c>
      <c r="E107" s="20" t="n">
        <v>18572</v>
      </c>
      <c r="F107" s="20" t="n">
        <v>19680</v>
      </c>
      <c r="G107" s="20" t="n">
        <v>152362</v>
      </c>
      <c r="H107" s="20" t="n">
        <v>144052</v>
      </c>
      <c r="I107" s="31" t="n">
        <v>0.536</v>
      </c>
      <c r="J107" s="32" t="b">
        <f aca="false">FALSE()</f>
        <v>0</v>
      </c>
      <c r="K107" s="32" t="b">
        <f aca="false">FALSE()</f>
        <v>0</v>
      </c>
      <c r="L107" s="32" t="b">
        <f aca="false">FALSE()</f>
        <v>0</v>
      </c>
      <c r="M107" s="32" t="b">
        <f aca="false">FALSE()</f>
        <v>0</v>
      </c>
      <c r="N107" s="6" t="str">
        <f aca="false">IF(OR(AND(B107=2024,C107&gt;=43),AND(B107=2025,C107&lt;=13)),"Temporada 2024-25",IF(AND(B107=2025,C107&gt;=36,C107&lt;=42),"Sep-oct 2025","Resto del año"))</f>
        <v>Resto del año</v>
      </c>
    </row>
    <row r="108" customFormat="false" ht="15" hidden="false" customHeight="false" outlineLevel="0" collapsed="false">
      <c r="A108" s="7" t="s">
        <v>46</v>
      </c>
      <c r="B108" s="7" t="n">
        <v>2024</v>
      </c>
      <c r="C108" s="7" t="n">
        <v>13</v>
      </c>
      <c r="D108" s="7" t="n">
        <v>3</v>
      </c>
      <c r="E108" s="20" t="n">
        <v>15061</v>
      </c>
      <c r="F108" s="20" t="n">
        <v>17446</v>
      </c>
      <c r="G108" s="20" t="n">
        <v>130470</v>
      </c>
      <c r="H108" s="20" t="n">
        <v>132442</v>
      </c>
      <c r="I108" s="31" t="n">
        <v>0.5442</v>
      </c>
      <c r="J108" s="32" t="b">
        <f aca="false">FALSE()</f>
        <v>0</v>
      </c>
      <c r="K108" s="32" t="b">
        <f aca="false">FALSE()</f>
        <v>0</v>
      </c>
      <c r="L108" s="32" t="b">
        <f aca="false">FALSE()</f>
        <v>0</v>
      </c>
      <c r="M108" s="32" t="b">
        <f aca="false">FALSE()</f>
        <v>0</v>
      </c>
      <c r="N108" s="6" t="str">
        <f aca="false">IF(OR(AND(B108=2024,C108&gt;=43),AND(B108=2025,C108&lt;=13)),"Temporada 2024-25",IF(AND(B108=2025,C108&gt;=36,C108&lt;=42),"Sep-oct 2025","Resto del año"))</f>
        <v>Resto del año</v>
      </c>
    </row>
    <row r="109" customFormat="false" ht="15" hidden="false" customHeight="false" outlineLevel="0" collapsed="false">
      <c r="A109" s="7" t="s">
        <v>46</v>
      </c>
      <c r="B109" s="7" t="n">
        <v>2024</v>
      </c>
      <c r="C109" s="7" t="n">
        <v>14</v>
      </c>
      <c r="D109" s="7" t="n">
        <v>4</v>
      </c>
      <c r="E109" s="20" t="n">
        <v>14856</v>
      </c>
      <c r="F109" s="20" t="n">
        <v>15653</v>
      </c>
      <c r="G109" s="20" t="n">
        <v>132863</v>
      </c>
      <c r="H109" s="20" t="n">
        <v>137660</v>
      </c>
      <c r="I109" s="31" t="n">
        <v>0.5276</v>
      </c>
      <c r="J109" s="32" t="b">
        <f aca="false">FALSE()</f>
        <v>0</v>
      </c>
      <c r="K109" s="32" t="b">
        <f aca="false">FALSE()</f>
        <v>0</v>
      </c>
      <c r="L109" s="32" t="b">
        <f aca="false">FALSE()</f>
        <v>0</v>
      </c>
      <c r="M109" s="32" t="b">
        <f aca="false">FALSE()</f>
        <v>0</v>
      </c>
      <c r="N109" s="6" t="str">
        <f aca="false">IF(OR(AND(B109=2024,C109&gt;=43),AND(B109=2025,C109&lt;=13)),"Temporada 2024-25",IF(AND(B109=2025,C109&gt;=36,C109&lt;=42),"Sep-oct 2025","Resto del año"))</f>
        <v>Resto del año</v>
      </c>
    </row>
    <row r="110" customFormat="false" ht="15" hidden="false" customHeight="false" outlineLevel="0" collapsed="false">
      <c r="A110" s="7" t="s">
        <v>46</v>
      </c>
      <c r="B110" s="7" t="n">
        <v>2024</v>
      </c>
      <c r="C110" s="7" t="n">
        <v>15</v>
      </c>
      <c r="D110" s="7" t="n">
        <v>4</v>
      </c>
      <c r="E110" s="20" t="n">
        <v>14941</v>
      </c>
      <c r="F110" s="20" t="n">
        <v>16280</v>
      </c>
      <c r="G110" s="20" t="n">
        <v>125795</v>
      </c>
      <c r="H110" s="20" t="n">
        <v>127060</v>
      </c>
      <c r="I110" s="31" t="n">
        <v>0.5405</v>
      </c>
      <c r="J110" s="32" t="b">
        <f aca="false">FALSE()</f>
        <v>0</v>
      </c>
      <c r="K110" s="32" t="b">
        <f aca="false">FALSE()</f>
        <v>0</v>
      </c>
      <c r="L110" s="32" t="b">
        <f aca="false">FALSE()</f>
        <v>0</v>
      </c>
      <c r="M110" s="32" t="b">
        <f aca="false">FALSE()</f>
        <v>0</v>
      </c>
      <c r="N110" s="6" t="str">
        <f aca="false">IF(OR(AND(B110=2024,C110&gt;=43),AND(B110=2025,C110&lt;=13)),"Temporada 2024-25",IF(AND(B110=2025,C110&gt;=36,C110&lt;=42),"Sep-oct 2025","Resto del año"))</f>
        <v>Resto del año</v>
      </c>
    </row>
    <row r="111" customFormat="false" ht="15" hidden="false" customHeight="false" outlineLevel="0" collapsed="false">
      <c r="A111" s="7" t="s">
        <v>46</v>
      </c>
      <c r="B111" s="7" t="n">
        <v>2024</v>
      </c>
      <c r="C111" s="7" t="n">
        <v>16</v>
      </c>
      <c r="D111" s="7" t="n">
        <v>4</v>
      </c>
      <c r="E111" s="20" t="n">
        <v>17046</v>
      </c>
      <c r="F111" s="20" t="n">
        <v>17743</v>
      </c>
      <c r="G111" s="20" t="n">
        <v>139418</v>
      </c>
      <c r="H111" s="20" t="n">
        <v>135224</v>
      </c>
      <c r="I111" s="31" t="n">
        <v>0.5522</v>
      </c>
      <c r="J111" s="32" t="b">
        <f aca="false">FALSE()</f>
        <v>0</v>
      </c>
      <c r="K111" s="32" t="b">
        <f aca="false">FALSE()</f>
        <v>0</v>
      </c>
      <c r="L111" s="32" t="b">
        <f aca="false">FALSE()</f>
        <v>0</v>
      </c>
      <c r="M111" s="32" t="b">
        <f aca="false">FALSE()</f>
        <v>0</v>
      </c>
      <c r="N111" s="6" t="str">
        <f aca="false">IF(OR(AND(B111=2024,C111&gt;=43),AND(B111=2025,C111&lt;=13)),"Temporada 2024-25",IF(AND(B111=2025,C111&gt;=36,C111&lt;=42),"Sep-oct 2025","Resto del año"))</f>
        <v>Resto del año</v>
      </c>
    </row>
    <row r="112" customFormat="false" ht="15" hidden="false" customHeight="false" outlineLevel="0" collapsed="false">
      <c r="A112" s="7" t="s">
        <v>46</v>
      </c>
      <c r="B112" s="7" t="n">
        <v>2024</v>
      </c>
      <c r="C112" s="7" t="n">
        <v>17</v>
      </c>
      <c r="D112" s="7" t="n">
        <v>4</v>
      </c>
      <c r="E112" s="20" t="n">
        <v>16232</v>
      </c>
      <c r="F112" s="20" t="n">
        <v>17673</v>
      </c>
      <c r="G112" s="20" t="n">
        <v>152025</v>
      </c>
      <c r="H112" s="20" t="n">
        <v>139959</v>
      </c>
      <c r="I112" s="31" t="n">
        <v>0.55925</v>
      </c>
      <c r="J112" s="32" t="b">
        <f aca="false">FALSE()</f>
        <v>0</v>
      </c>
      <c r="K112" s="32" t="b">
        <f aca="false">TRUE()</f>
        <v>1</v>
      </c>
      <c r="L112" s="32" t="b">
        <f aca="false">FALSE()</f>
        <v>0</v>
      </c>
      <c r="M112" s="32" t="b">
        <f aca="false">FALSE()</f>
        <v>0</v>
      </c>
      <c r="N112" s="6" t="str">
        <f aca="false">IF(OR(AND(B112=2024,C112&gt;=43),AND(B112=2025,C112&lt;=13)),"Temporada 2024-25",IF(AND(B112=2025,C112&gt;=36,C112&lt;=42),"Sep-oct 2025","Resto del año"))</f>
        <v>Resto del año</v>
      </c>
    </row>
    <row r="113" customFormat="false" ht="15" hidden="false" customHeight="false" outlineLevel="0" collapsed="false">
      <c r="A113" s="7" t="s">
        <v>46</v>
      </c>
      <c r="B113" s="7" t="n">
        <v>2024</v>
      </c>
      <c r="C113" s="7" t="n">
        <v>18</v>
      </c>
      <c r="D113" s="7" t="n">
        <v>4</v>
      </c>
      <c r="E113" s="20" t="n">
        <v>18353</v>
      </c>
      <c r="F113" s="20" t="n">
        <v>17422</v>
      </c>
      <c r="G113" s="20" t="n">
        <v>138875</v>
      </c>
      <c r="H113" s="20" t="n">
        <v>129657</v>
      </c>
      <c r="I113" s="31" t="n">
        <v>0.5663</v>
      </c>
      <c r="J113" s="32" t="b">
        <f aca="false">FALSE()</f>
        <v>0</v>
      </c>
      <c r="K113" s="32" t="b">
        <f aca="false">FALSE()</f>
        <v>0</v>
      </c>
      <c r="L113" s="32" t="b">
        <f aca="false">FALSE()</f>
        <v>0</v>
      </c>
      <c r="M113" s="32" t="b">
        <f aca="false">FALSE()</f>
        <v>0</v>
      </c>
      <c r="N113" s="6" t="str">
        <f aca="false">IF(OR(AND(B113=2024,C113&gt;=43),AND(B113=2025,C113&lt;=13)),"Temporada 2024-25",IF(AND(B113=2025,C113&gt;=36,C113&lt;=42),"Sep-oct 2025","Resto del año"))</f>
        <v>Resto del año</v>
      </c>
    </row>
    <row r="114" customFormat="false" ht="15" hidden="false" customHeight="false" outlineLevel="0" collapsed="false">
      <c r="A114" s="7" t="s">
        <v>46</v>
      </c>
      <c r="B114" s="7" t="n">
        <v>2024</v>
      </c>
      <c r="C114" s="7" t="n">
        <v>19</v>
      </c>
      <c r="D114" s="7" t="n">
        <v>5</v>
      </c>
      <c r="E114" s="20" t="n">
        <v>16341</v>
      </c>
      <c r="F114" s="20" t="n">
        <v>18551</v>
      </c>
      <c r="G114" s="20" t="n">
        <v>142959</v>
      </c>
      <c r="H114" s="20" t="n">
        <v>139671</v>
      </c>
      <c r="I114" s="31" t="n">
        <v>0.5658</v>
      </c>
      <c r="J114" s="32" t="b">
        <f aca="false">FALSE()</f>
        <v>0</v>
      </c>
      <c r="K114" s="32" t="b">
        <f aca="false">FALSE()</f>
        <v>0</v>
      </c>
      <c r="L114" s="32" t="b">
        <f aca="false">FALSE()</f>
        <v>0</v>
      </c>
      <c r="M114" s="32" t="b">
        <f aca="false">FALSE()</f>
        <v>0</v>
      </c>
      <c r="N114" s="6" t="str">
        <f aca="false">IF(OR(AND(B114=2024,C114&gt;=43),AND(B114=2025,C114&lt;=13)),"Temporada 2024-25",IF(AND(B114=2025,C114&gt;=36,C114&lt;=42),"Sep-oct 2025","Resto del año"))</f>
        <v>Resto del año</v>
      </c>
    </row>
    <row r="115" customFormat="false" ht="15" hidden="false" customHeight="false" outlineLevel="0" collapsed="false">
      <c r="A115" s="7" t="s">
        <v>46</v>
      </c>
      <c r="B115" s="7" t="n">
        <v>2024</v>
      </c>
      <c r="C115" s="7" t="n">
        <v>20</v>
      </c>
      <c r="D115" s="7" t="n">
        <v>5</v>
      </c>
      <c r="E115" s="20" t="n">
        <v>17564</v>
      </c>
      <c r="F115" s="20" t="n">
        <v>17395</v>
      </c>
      <c r="G115" s="20" t="n">
        <v>139152</v>
      </c>
      <c r="H115" s="20" t="n">
        <v>134805</v>
      </c>
      <c r="I115" s="31" t="n">
        <v>0.5665</v>
      </c>
      <c r="J115" s="32" t="b">
        <f aca="false">FALSE()</f>
        <v>0</v>
      </c>
      <c r="K115" s="32" t="b">
        <f aca="false">FALSE()</f>
        <v>0</v>
      </c>
      <c r="L115" s="32" t="b">
        <f aca="false">FALSE()</f>
        <v>0</v>
      </c>
      <c r="M115" s="32" t="b">
        <f aca="false">FALSE()</f>
        <v>0</v>
      </c>
      <c r="N115" s="6" t="str">
        <f aca="false">IF(OR(AND(B115=2024,C115&gt;=43),AND(B115=2025,C115&lt;=13)),"Temporada 2024-25",IF(AND(B115=2025,C115&gt;=36,C115&lt;=42),"Sep-oct 2025","Resto del año"))</f>
        <v>Resto del año</v>
      </c>
    </row>
    <row r="116" customFormat="false" ht="15" hidden="false" customHeight="false" outlineLevel="0" collapsed="false">
      <c r="A116" s="7" t="s">
        <v>46</v>
      </c>
      <c r="B116" s="7" t="n">
        <v>2024</v>
      </c>
      <c r="C116" s="7" t="n">
        <v>21</v>
      </c>
      <c r="D116" s="7" t="n">
        <v>5</v>
      </c>
      <c r="E116" s="20" t="n">
        <v>18498</v>
      </c>
      <c r="F116" s="20" t="n">
        <v>18868</v>
      </c>
      <c r="G116" s="20" t="n">
        <v>156013</v>
      </c>
      <c r="H116" s="20" t="n">
        <v>136454</v>
      </c>
      <c r="I116" s="31" t="n">
        <v>0.5872</v>
      </c>
      <c r="J116" s="32" t="b">
        <f aca="false">FALSE()</f>
        <v>0</v>
      </c>
      <c r="K116" s="32" t="b">
        <f aca="false">FALSE()</f>
        <v>0</v>
      </c>
      <c r="L116" s="32" t="b">
        <f aca="false">FALSE()</f>
        <v>0</v>
      </c>
      <c r="M116" s="32" t="b">
        <f aca="false">FALSE()</f>
        <v>0</v>
      </c>
      <c r="N116" s="6" t="str">
        <f aca="false">IF(OR(AND(B116=2024,C116&gt;=43),AND(B116=2025,C116&lt;=13)),"Temporada 2024-25",IF(AND(B116=2025,C116&gt;=36,C116&lt;=42),"Sep-oct 2025","Resto del año"))</f>
        <v>Resto del año</v>
      </c>
    </row>
    <row r="117" customFormat="false" ht="15" hidden="false" customHeight="false" outlineLevel="0" collapsed="false">
      <c r="A117" s="7" t="s">
        <v>46</v>
      </c>
      <c r="B117" s="7" t="n">
        <v>2024</v>
      </c>
      <c r="C117" s="7" t="n">
        <v>22</v>
      </c>
      <c r="D117" s="7" t="n">
        <v>5</v>
      </c>
      <c r="E117" s="20" t="n">
        <v>11892</v>
      </c>
      <c r="F117" s="20" t="n">
        <v>14466</v>
      </c>
      <c r="G117" s="20" t="n">
        <v>120707</v>
      </c>
      <c r="H117" s="20" t="n">
        <v>120823</v>
      </c>
      <c r="I117" s="31" t="n">
        <v>0.5796</v>
      </c>
      <c r="J117" s="32" t="b">
        <f aca="false">FALSE()</f>
        <v>0</v>
      </c>
      <c r="K117" s="32" t="b">
        <f aca="false">FALSE()</f>
        <v>0</v>
      </c>
      <c r="L117" s="32" t="b">
        <f aca="false">FALSE()</f>
        <v>0</v>
      </c>
      <c r="M117" s="32" t="b">
        <f aca="false">FALSE()</f>
        <v>0</v>
      </c>
      <c r="N117" s="6" t="str">
        <f aca="false">IF(OR(AND(B117=2024,C117&gt;=43),AND(B117=2025,C117&lt;=13)),"Temporada 2024-25",IF(AND(B117=2025,C117&gt;=36,C117&lt;=42),"Sep-oct 2025","Resto del año"))</f>
        <v>Resto del año</v>
      </c>
    </row>
    <row r="118" customFormat="false" ht="15" hidden="false" customHeight="false" outlineLevel="0" collapsed="false">
      <c r="A118" s="7" t="s">
        <v>46</v>
      </c>
      <c r="B118" s="7" t="n">
        <v>2024</v>
      </c>
      <c r="C118" s="7" t="n">
        <v>23</v>
      </c>
      <c r="D118" s="7" t="n">
        <v>6</v>
      </c>
      <c r="E118" s="20" t="n">
        <v>17487</v>
      </c>
      <c r="F118" s="20" t="n">
        <v>18151</v>
      </c>
      <c r="G118" s="20" t="n">
        <v>149734</v>
      </c>
      <c r="H118" s="20" t="n">
        <v>142979</v>
      </c>
      <c r="I118" s="31" t="n">
        <v>0.5764</v>
      </c>
      <c r="J118" s="32" t="b">
        <f aca="false">FALSE()</f>
        <v>0</v>
      </c>
      <c r="K118" s="32" t="b">
        <f aca="false">FALSE()</f>
        <v>0</v>
      </c>
      <c r="L118" s="32" t="b">
        <f aca="false">FALSE()</f>
        <v>0</v>
      </c>
      <c r="M118" s="32" t="b">
        <f aca="false">FALSE()</f>
        <v>0</v>
      </c>
      <c r="N118" s="6" t="str">
        <f aca="false">IF(OR(AND(B118=2024,C118&gt;=43),AND(B118=2025,C118&lt;=13)),"Temporada 2024-25",IF(AND(B118=2025,C118&gt;=36,C118&lt;=42),"Sep-oct 2025","Resto del año"))</f>
        <v>Resto del año</v>
      </c>
    </row>
    <row r="119" customFormat="false" ht="15" hidden="false" customHeight="false" outlineLevel="0" collapsed="false">
      <c r="A119" s="7" t="s">
        <v>46</v>
      </c>
      <c r="B119" s="7" t="n">
        <v>2024</v>
      </c>
      <c r="C119" s="7" t="n">
        <v>24</v>
      </c>
      <c r="D119" s="7" t="n">
        <v>6</v>
      </c>
      <c r="E119" s="20" t="n">
        <v>18813</v>
      </c>
      <c r="F119" s="20" t="n">
        <v>18529</v>
      </c>
      <c r="G119" s="20" t="n">
        <v>141483</v>
      </c>
      <c r="H119" s="20" t="n">
        <v>135623</v>
      </c>
      <c r="I119" s="31" t="n">
        <v>0.587</v>
      </c>
      <c r="J119" s="32" t="b">
        <f aca="false">FALSE()</f>
        <v>0</v>
      </c>
      <c r="K119" s="32" t="b">
        <f aca="false">FALSE()</f>
        <v>0</v>
      </c>
      <c r="L119" s="32" t="b">
        <f aca="false">FALSE()</f>
        <v>0</v>
      </c>
      <c r="M119" s="32" t="b">
        <f aca="false">FALSE()</f>
        <v>0</v>
      </c>
      <c r="N119" s="6" t="str">
        <f aca="false">IF(OR(AND(B119=2024,C119&gt;=43),AND(B119=2025,C119&lt;=13)),"Temporada 2024-25",IF(AND(B119=2025,C119&gt;=36,C119&lt;=42),"Sep-oct 2025","Resto del año"))</f>
        <v>Resto del año</v>
      </c>
    </row>
    <row r="120" customFormat="false" ht="15" hidden="false" customHeight="false" outlineLevel="0" collapsed="false">
      <c r="A120" s="7" t="s">
        <v>46</v>
      </c>
      <c r="B120" s="7" t="n">
        <v>2024</v>
      </c>
      <c r="C120" s="7" t="n">
        <v>25</v>
      </c>
      <c r="D120" s="7" t="n">
        <v>6</v>
      </c>
      <c r="E120" s="20" t="n">
        <v>16832</v>
      </c>
      <c r="F120" s="20" t="n">
        <v>17330</v>
      </c>
      <c r="G120" s="20" t="n">
        <v>137842</v>
      </c>
      <c r="H120" s="20" t="n">
        <v>133492</v>
      </c>
      <c r="I120" s="31" t="n">
        <v>0.5948</v>
      </c>
      <c r="J120" s="32" t="b">
        <f aca="false">FALSE()</f>
        <v>0</v>
      </c>
      <c r="K120" s="32" t="b">
        <f aca="false">FALSE()</f>
        <v>0</v>
      </c>
      <c r="L120" s="32" t="b">
        <f aca="false">FALSE()</f>
        <v>0</v>
      </c>
      <c r="M120" s="32" t="b">
        <f aca="false">FALSE()</f>
        <v>0</v>
      </c>
      <c r="N120" s="6" t="str">
        <f aca="false">IF(OR(AND(B120=2024,C120&gt;=43),AND(B120=2025,C120&lt;=13)),"Temporada 2024-25",IF(AND(B120=2025,C120&gt;=36,C120&lt;=42),"Sep-oct 2025","Resto del año"))</f>
        <v>Resto del año</v>
      </c>
    </row>
    <row r="121" customFormat="false" ht="15" hidden="false" customHeight="false" outlineLevel="0" collapsed="false">
      <c r="A121" s="7" t="s">
        <v>46</v>
      </c>
      <c r="B121" s="7" t="n">
        <v>2024</v>
      </c>
      <c r="C121" s="7" t="n">
        <v>26</v>
      </c>
      <c r="D121" s="7" t="n">
        <v>6</v>
      </c>
      <c r="E121" s="20" t="n">
        <v>15780</v>
      </c>
      <c r="F121" s="20" t="n">
        <v>16966</v>
      </c>
      <c r="G121" s="20" t="n">
        <v>131332</v>
      </c>
      <c r="H121" s="20" t="n">
        <v>128577</v>
      </c>
      <c r="I121" s="31" t="n">
        <v>0.5985</v>
      </c>
      <c r="J121" s="32" t="b">
        <f aca="false">FALSE()</f>
        <v>0</v>
      </c>
      <c r="K121" s="32" t="b">
        <f aca="false">FALSE()</f>
        <v>0</v>
      </c>
      <c r="L121" s="32" t="b">
        <f aca="false">FALSE()</f>
        <v>0</v>
      </c>
      <c r="M121" s="32" t="b">
        <f aca="false">FALSE()</f>
        <v>0</v>
      </c>
      <c r="N121" s="6" t="str">
        <f aca="false">IF(OR(AND(B121=2024,C121&gt;=43),AND(B121=2025,C121&lt;=13)),"Temporada 2024-25",IF(AND(B121=2025,C121&gt;=36,C121&lt;=42),"Sep-oct 2025","Resto del año"))</f>
        <v>Resto del año</v>
      </c>
    </row>
    <row r="122" customFormat="false" ht="15" hidden="false" customHeight="false" outlineLevel="0" collapsed="false">
      <c r="A122" s="7" t="s">
        <v>46</v>
      </c>
      <c r="B122" s="7" t="n">
        <v>2024</v>
      </c>
      <c r="C122" s="7" t="n">
        <v>27</v>
      </c>
      <c r="D122" s="7" t="n">
        <v>7</v>
      </c>
      <c r="E122" s="20" t="n">
        <v>17774</v>
      </c>
      <c r="F122" s="20" t="n">
        <v>17084</v>
      </c>
      <c r="G122" s="20" t="n">
        <v>140212</v>
      </c>
      <c r="H122" s="20" t="n">
        <v>137180</v>
      </c>
      <c r="I122" s="31" t="n">
        <v>0.5952</v>
      </c>
      <c r="J122" s="32" t="b">
        <f aca="false">FALSE()</f>
        <v>0</v>
      </c>
      <c r="K122" s="32" t="b">
        <f aca="false">FALSE()</f>
        <v>0</v>
      </c>
      <c r="L122" s="32" t="b">
        <f aca="false">FALSE()</f>
        <v>0</v>
      </c>
      <c r="M122" s="32" t="b">
        <f aca="false">FALSE()</f>
        <v>0</v>
      </c>
      <c r="N122" s="6" t="str">
        <f aca="false">IF(OR(AND(B122=2024,C122&gt;=43),AND(B122=2025,C122&lt;=13)),"Temporada 2024-25",IF(AND(B122=2025,C122&gt;=36,C122&lt;=42),"Sep-oct 2025","Resto del año"))</f>
        <v>Resto del año</v>
      </c>
    </row>
    <row r="123" customFormat="false" ht="15" hidden="false" customHeight="false" outlineLevel="0" collapsed="false">
      <c r="A123" s="7" t="s">
        <v>46</v>
      </c>
      <c r="B123" s="7" t="n">
        <v>2024</v>
      </c>
      <c r="C123" s="7" t="n">
        <v>28</v>
      </c>
      <c r="D123" s="7" t="n">
        <v>7</v>
      </c>
      <c r="E123" s="20" t="n">
        <v>16876</v>
      </c>
      <c r="F123" s="20" t="n">
        <v>18043</v>
      </c>
      <c r="G123" s="20" t="n">
        <v>135470</v>
      </c>
      <c r="H123" s="20" t="n">
        <v>131536</v>
      </c>
      <c r="I123" s="31" t="n">
        <v>0.6073</v>
      </c>
      <c r="J123" s="32" t="b">
        <f aca="false">FALSE()</f>
        <v>0</v>
      </c>
      <c r="K123" s="32" t="b">
        <f aca="false">FALSE()</f>
        <v>0</v>
      </c>
      <c r="L123" s="32" t="b">
        <f aca="false">FALSE()</f>
        <v>0</v>
      </c>
      <c r="M123" s="32" t="b">
        <f aca="false">FALSE()</f>
        <v>0</v>
      </c>
      <c r="N123" s="6" t="str">
        <f aca="false">IF(OR(AND(B123=2024,C123&gt;=43),AND(B123=2025,C123&lt;=13)),"Temporada 2024-25",IF(AND(B123=2025,C123&gt;=36,C123&lt;=42),"Sep-oct 2025","Resto del año"))</f>
        <v>Resto del año</v>
      </c>
    </row>
    <row r="124" customFormat="false" ht="15" hidden="false" customHeight="false" outlineLevel="0" collapsed="false">
      <c r="A124" s="7" t="s">
        <v>46</v>
      </c>
      <c r="B124" s="7" t="n">
        <v>2024</v>
      </c>
      <c r="C124" s="7" t="n">
        <v>29</v>
      </c>
      <c r="D124" s="7" t="n">
        <v>7</v>
      </c>
      <c r="E124" s="20" t="n">
        <v>16608</v>
      </c>
      <c r="F124" s="20" t="n">
        <v>18351</v>
      </c>
      <c r="G124" s="20" t="n">
        <v>133529</v>
      </c>
      <c r="H124" s="20" t="n">
        <v>135657</v>
      </c>
      <c r="I124" s="31" t="n">
        <v>0.6262</v>
      </c>
      <c r="J124" s="32" t="b">
        <f aca="false">FALSE()</f>
        <v>0</v>
      </c>
      <c r="K124" s="32" t="b">
        <f aca="false">FALSE()</f>
        <v>0</v>
      </c>
      <c r="L124" s="32" t="b">
        <f aca="false">FALSE()</f>
        <v>0</v>
      </c>
      <c r="M124" s="32" t="b">
        <f aca="false">FALSE()</f>
        <v>0</v>
      </c>
      <c r="N124" s="6" t="str">
        <f aca="false">IF(OR(AND(B124=2024,C124&gt;=43),AND(B124=2025,C124&lt;=13)),"Temporada 2024-25",IF(AND(B124=2025,C124&gt;=36,C124&lt;=42),"Sep-oct 2025","Resto del año"))</f>
        <v>Resto del año</v>
      </c>
    </row>
    <row r="125" customFormat="false" ht="15" hidden="false" customHeight="false" outlineLevel="0" collapsed="false">
      <c r="A125" s="7" t="s">
        <v>46</v>
      </c>
      <c r="B125" s="7" t="n">
        <v>2024</v>
      </c>
      <c r="C125" s="7" t="n">
        <v>30</v>
      </c>
      <c r="D125" s="7" t="n">
        <v>7</v>
      </c>
      <c r="E125" s="20" t="n">
        <v>15411</v>
      </c>
      <c r="F125" s="20" t="n">
        <v>16556</v>
      </c>
      <c r="G125" s="20" t="n">
        <v>132662</v>
      </c>
      <c r="H125" s="20" t="n">
        <v>132286</v>
      </c>
      <c r="I125" s="31" t="n">
        <v>0.6137</v>
      </c>
      <c r="J125" s="32" t="b">
        <f aca="false">FALSE()</f>
        <v>0</v>
      </c>
      <c r="K125" s="32" t="b">
        <f aca="false">FALSE()</f>
        <v>0</v>
      </c>
      <c r="L125" s="32" t="b">
        <f aca="false">FALSE()</f>
        <v>0</v>
      </c>
      <c r="M125" s="32" t="b">
        <f aca="false">FALSE()</f>
        <v>0</v>
      </c>
      <c r="N125" s="6" t="str">
        <f aca="false">IF(OR(AND(B125=2024,C125&gt;=43),AND(B125=2025,C125&lt;=13)),"Temporada 2024-25",IF(AND(B125=2025,C125&gt;=36,C125&lt;=42),"Sep-oct 2025","Resto del año"))</f>
        <v>Resto del año</v>
      </c>
    </row>
    <row r="126" customFormat="false" ht="15" hidden="false" customHeight="false" outlineLevel="0" collapsed="false">
      <c r="A126" s="7" t="s">
        <v>46</v>
      </c>
      <c r="B126" s="7" t="n">
        <v>2024</v>
      </c>
      <c r="C126" s="7" t="n">
        <v>31</v>
      </c>
      <c r="D126" s="7" t="n">
        <v>7</v>
      </c>
      <c r="E126" s="20" t="n">
        <v>16385</v>
      </c>
      <c r="F126" s="20" t="n">
        <v>16188</v>
      </c>
      <c r="G126" s="20" t="n">
        <v>130670</v>
      </c>
      <c r="H126" s="20" t="n">
        <v>130120</v>
      </c>
      <c r="I126" s="31" t="n">
        <v>0.6036</v>
      </c>
      <c r="J126" s="32" t="b">
        <f aca="false">FALSE()</f>
        <v>0</v>
      </c>
      <c r="K126" s="32" t="b">
        <f aca="false">FALSE()</f>
        <v>0</v>
      </c>
      <c r="L126" s="32" t="b">
        <f aca="false">FALSE()</f>
        <v>0</v>
      </c>
      <c r="M126" s="32" t="b">
        <f aca="false">FALSE()</f>
        <v>0</v>
      </c>
      <c r="N126" s="6" t="str">
        <f aca="false">IF(OR(AND(B126=2024,C126&gt;=43),AND(B126=2025,C126&lt;=13)),"Temporada 2024-25",IF(AND(B126=2025,C126&gt;=36,C126&lt;=42),"Sep-oct 2025","Resto del año"))</f>
        <v>Resto del año</v>
      </c>
    </row>
    <row r="127" customFormat="false" ht="15" hidden="false" customHeight="false" outlineLevel="0" collapsed="false">
      <c r="A127" s="7" t="s">
        <v>46</v>
      </c>
      <c r="B127" s="7" t="n">
        <v>2024</v>
      </c>
      <c r="C127" s="7" t="n">
        <v>32</v>
      </c>
      <c r="D127" s="7" t="n">
        <v>8</v>
      </c>
      <c r="E127" s="20" t="n">
        <v>14937</v>
      </c>
      <c r="F127" s="20" t="n">
        <v>15742</v>
      </c>
      <c r="G127" s="20" t="n">
        <v>121422</v>
      </c>
      <c r="H127" s="20" t="n">
        <v>124180</v>
      </c>
      <c r="I127" s="31" t="n">
        <v>0.605</v>
      </c>
      <c r="J127" s="32" t="b">
        <f aca="false">FALSE()</f>
        <v>0</v>
      </c>
      <c r="K127" s="32" t="b">
        <f aca="false">FALSE()</f>
        <v>0</v>
      </c>
      <c r="L127" s="32" t="b">
        <f aca="false">FALSE()</f>
        <v>0</v>
      </c>
      <c r="M127" s="32" t="b">
        <f aca="false">FALSE()</f>
        <v>0</v>
      </c>
      <c r="N127" s="6" t="str">
        <f aca="false">IF(OR(AND(B127=2024,C127&gt;=43),AND(B127=2025,C127&lt;=13)),"Temporada 2024-25",IF(AND(B127=2025,C127&gt;=36,C127&lt;=42),"Sep-oct 2025","Resto del año"))</f>
        <v>Resto del año</v>
      </c>
    </row>
    <row r="128" customFormat="false" ht="15" hidden="false" customHeight="false" outlineLevel="0" collapsed="false">
      <c r="A128" s="7" t="s">
        <v>46</v>
      </c>
      <c r="B128" s="7" t="n">
        <v>2024</v>
      </c>
      <c r="C128" s="7" t="n">
        <v>33</v>
      </c>
      <c r="D128" s="7" t="n">
        <v>8</v>
      </c>
      <c r="E128" s="20" t="n">
        <v>17429</v>
      </c>
      <c r="F128" s="20" t="n">
        <v>18729</v>
      </c>
      <c r="G128" s="20" t="n">
        <v>140630</v>
      </c>
      <c r="H128" s="20" t="n">
        <v>134665</v>
      </c>
      <c r="I128" s="31" t="n">
        <v>0.6201</v>
      </c>
      <c r="J128" s="32" t="b">
        <f aca="false">FALSE()</f>
        <v>0</v>
      </c>
      <c r="K128" s="32" t="b">
        <f aca="false">FALSE()</f>
        <v>0</v>
      </c>
      <c r="L128" s="32" t="b">
        <f aca="false">FALSE()</f>
        <v>0</v>
      </c>
      <c r="M128" s="32" t="b">
        <f aca="false">FALSE()</f>
        <v>0</v>
      </c>
      <c r="N128" s="6" t="str">
        <f aca="false">IF(OR(AND(B128=2024,C128&gt;=43),AND(B128=2025,C128&lt;=13)),"Temporada 2024-25",IF(AND(B128=2025,C128&gt;=36,C128&lt;=42),"Sep-oct 2025","Resto del año"))</f>
        <v>Resto del año</v>
      </c>
    </row>
    <row r="129" customFormat="false" ht="15" hidden="false" customHeight="false" outlineLevel="0" collapsed="false">
      <c r="A129" s="7" t="s">
        <v>46</v>
      </c>
      <c r="B129" s="7" t="n">
        <v>2024</v>
      </c>
      <c r="C129" s="7" t="n">
        <v>34</v>
      </c>
      <c r="D129" s="7" t="n">
        <v>8</v>
      </c>
      <c r="E129" s="20" t="n">
        <v>18002</v>
      </c>
      <c r="F129" s="20" t="n">
        <v>17485</v>
      </c>
      <c r="G129" s="20" t="n">
        <v>141693</v>
      </c>
      <c r="H129" s="20" t="n">
        <v>130021</v>
      </c>
      <c r="I129" s="31" t="n">
        <v>0.6235</v>
      </c>
      <c r="J129" s="32" t="b">
        <f aca="false">FALSE()</f>
        <v>0</v>
      </c>
      <c r="K129" s="32" t="b">
        <f aca="false">FALSE()</f>
        <v>0</v>
      </c>
      <c r="L129" s="32" t="b">
        <f aca="false">FALSE()</f>
        <v>0</v>
      </c>
      <c r="M129" s="32" t="b">
        <f aca="false">FALSE()</f>
        <v>0</v>
      </c>
      <c r="N129" s="6" t="str">
        <f aca="false">IF(OR(AND(B129=2024,C129&gt;=43),AND(B129=2025,C129&lt;=13)),"Temporada 2024-25",IF(AND(B129=2025,C129&gt;=36,C129&lt;=42),"Sep-oct 2025","Resto del año"))</f>
        <v>Resto del año</v>
      </c>
    </row>
    <row r="130" customFormat="false" ht="15" hidden="false" customHeight="false" outlineLevel="0" collapsed="false">
      <c r="A130" s="7" t="s">
        <v>46</v>
      </c>
      <c r="B130" s="7" t="n">
        <v>2024</v>
      </c>
      <c r="C130" s="7" t="n">
        <v>35</v>
      </c>
      <c r="D130" s="7" t="n">
        <v>8</v>
      </c>
      <c r="E130" s="20" t="n">
        <v>14139</v>
      </c>
      <c r="F130" s="20" t="n">
        <v>15795</v>
      </c>
      <c r="G130" s="20" t="n">
        <v>132654</v>
      </c>
      <c r="H130" s="20" t="n">
        <v>124778</v>
      </c>
      <c r="I130" s="31" t="n">
        <v>0.6257</v>
      </c>
      <c r="J130" s="32" t="b">
        <f aca="false">FALSE()</f>
        <v>0</v>
      </c>
      <c r="K130" s="32" t="b">
        <f aca="false">FALSE()</f>
        <v>0</v>
      </c>
      <c r="L130" s="32" t="b">
        <f aca="false">FALSE()</f>
        <v>0</v>
      </c>
      <c r="M130" s="32" t="b">
        <f aca="false">FALSE()</f>
        <v>0</v>
      </c>
      <c r="N130" s="6" t="str">
        <f aca="false">IF(OR(AND(B130=2024,C130&gt;=43),AND(B130=2025,C130&lt;=13)),"Temporada 2024-25",IF(AND(B130=2025,C130&gt;=36,C130&lt;=42),"Sep-oct 2025","Resto del año"))</f>
        <v>Resto del año</v>
      </c>
    </row>
    <row r="131" customFormat="false" ht="15" hidden="false" customHeight="false" outlineLevel="0" collapsed="false">
      <c r="A131" s="7" t="s">
        <v>46</v>
      </c>
      <c r="B131" s="7" t="n">
        <v>2024</v>
      </c>
      <c r="C131" s="7" t="n">
        <v>36</v>
      </c>
      <c r="D131" s="7" t="n">
        <v>9</v>
      </c>
      <c r="E131" s="20" t="n">
        <v>16918</v>
      </c>
      <c r="F131" s="20" t="n">
        <v>15795</v>
      </c>
      <c r="G131" s="20" t="n">
        <v>132355</v>
      </c>
      <c r="H131" s="20" t="n">
        <v>124778</v>
      </c>
      <c r="I131" s="31" t="n">
        <v>0.6239</v>
      </c>
      <c r="J131" s="32" t="b">
        <f aca="false">FALSE()</f>
        <v>0</v>
      </c>
      <c r="K131" s="32" t="b">
        <f aca="false">FALSE()</f>
        <v>0</v>
      </c>
      <c r="L131" s="32" t="b">
        <f aca="false">TRUE()</f>
        <v>1</v>
      </c>
      <c r="M131" s="32" t="b">
        <f aca="false">FALSE()</f>
        <v>0</v>
      </c>
      <c r="N131" s="6" t="str">
        <f aca="false">IF(OR(AND(B131=2024,C131&gt;=43),AND(B131=2025,C131&lt;=13)),"Temporada 2024-25",IF(AND(B131=2025,C131&gt;=36,C131&lt;=42),"Sep-oct 2025","Resto del año"))</f>
        <v>Resto del año</v>
      </c>
    </row>
    <row r="132" customFormat="false" ht="15" hidden="false" customHeight="false" outlineLevel="0" collapsed="false">
      <c r="A132" s="7" t="s">
        <v>46</v>
      </c>
      <c r="B132" s="7" t="n">
        <v>2024</v>
      </c>
      <c r="C132" s="7" t="n">
        <v>37</v>
      </c>
      <c r="D132" s="7" t="n">
        <v>9</v>
      </c>
      <c r="E132" s="20" t="n">
        <v>19809</v>
      </c>
      <c r="F132" s="20" t="n">
        <v>18650</v>
      </c>
      <c r="G132" s="20" t="n">
        <v>129928</v>
      </c>
      <c r="H132" s="20" t="n">
        <v>131733</v>
      </c>
      <c r="I132" s="31" t="n">
        <v>0.634</v>
      </c>
      <c r="J132" s="32" t="b">
        <f aca="false">FALSE()</f>
        <v>0</v>
      </c>
      <c r="K132" s="32" t="b">
        <f aca="false">FALSE()</f>
        <v>0</v>
      </c>
      <c r="L132" s="32" t="b">
        <f aca="false">FALSE()</f>
        <v>0</v>
      </c>
      <c r="M132" s="32" t="b">
        <f aca="false">FALSE()</f>
        <v>0</v>
      </c>
      <c r="N132" s="6" t="str">
        <f aca="false">IF(OR(AND(B132=2024,C132&gt;=43),AND(B132=2025,C132&lt;=13)),"Temporada 2024-25",IF(AND(B132=2025,C132&gt;=36,C132&lt;=42),"Sep-oct 2025","Resto del año"))</f>
        <v>Resto del año</v>
      </c>
    </row>
    <row r="133" customFormat="false" ht="15" hidden="false" customHeight="false" outlineLevel="0" collapsed="false">
      <c r="A133" s="7" t="s">
        <v>46</v>
      </c>
      <c r="B133" s="7" t="n">
        <v>2024</v>
      </c>
      <c r="C133" s="7" t="n">
        <v>38</v>
      </c>
      <c r="D133" s="7" t="n">
        <v>9</v>
      </c>
      <c r="E133" s="20" t="n">
        <v>16592</v>
      </c>
      <c r="F133" s="20" t="n">
        <v>17241</v>
      </c>
      <c r="G133" s="20" t="n">
        <v>130368</v>
      </c>
      <c r="H133" s="20" t="n">
        <v>137365</v>
      </c>
      <c r="I133" s="31" t="n">
        <v>0.6266</v>
      </c>
      <c r="J133" s="32" t="b">
        <f aca="false">FALSE()</f>
        <v>0</v>
      </c>
      <c r="K133" s="32" t="b">
        <f aca="false">FALSE()</f>
        <v>0</v>
      </c>
      <c r="L133" s="32" t="b">
        <f aca="false">FALSE()</f>
        <v>0</v>
      </c>
      <c r="M133" s="32" t="b">
        <f aca="false">FALSE()</f>
        <v>0</v>
      </c>
      <c r="N133" s="6" t="str">
        <f aca="false">IF(OR(AND(B133=2024,C133&gt;=43),AND(B133=2025,C133&lt;=13)),"Temporada 2024-25",IF(AND(B133=2025,C133&gt;=36,C133&lt;=42),"Sep-oct 2025","Resto del año"))</f>
        <v>Resto del año</v>
      </c>
    </row>
    <row r="134" customFormat="false" ht="15" hidden="false" customHeight="false" outlineLevel="0" collapsed="false">
      <c r="A134" s="7" t="s">
        <v>46</v>
      </c>
      <c r="B134" s="7" t="n">
        <v>2024</v>
      </c>
      <c r="C134" s="7" t="n">
        <v>39</v>
      </c>
      <c r="D134" s="7" t="n">
        <v>9</v>
      </c>
      <c r="E134" s="20" t="n">
        <v>15396</v>
      </c>
      <c r="F134" s="20" t="n">
        <v>15427</v>
      </c>
      <c r="G134" s="20" t="n">
        <v>121465</v>
      </c>
      <c r="H134" s="20" t="n">
        <v>123066</v>
      </c>
      <c r="I134" s="31" t="n">
        <v>0.6238</v>
      </c>
      <c r="J134" s="32" t="b">
        <f aca="false">FALSE()</f>
        <v>0</v>
      </c>
      <c r="K134" s="32" t="b">
        <f aca="false">FALSE()</f>
        <v>0</v>
      </c>
      <c r="L134" s="32" t="b">
        <f aca="false">FALSE()</f>
        <v>0</v>
      </c>
      <c r="M134" s="32" t="b">
        <f aca="false">FALSE()</f>
        <v>0</v>
      </c>
      <c r="N134" s="6" t="str">
        <f aca="false">IF(OR(AND(B134=2024,C134&gt;=43),AND(B134=2025,C134&lt;=13)),"Temporada 2024-25",IF(AND(B134=2025,C134&gt;=36,C134&lt;=42),"Sep-oct 2025","Resto del año"))</f>
        <v>Resto del año</v>
      </c>
    </row>
    <row r="135" customFormat="false" ht="15" hidden="false" customHeight="false" outlineLevel="0" collapsed="false">
      <c r="A135" s="7" t="s">
        <v>46</v>
      </c>
      <c r="B135" s="7" t="n">
        <v>2024</v>
      </c>
      <c r="C135" s="7" t="n">
        <v>40</v>
      </c>
      <c r="D135" s="7" t="n">
        <v>9</v>
      </c>
      <c r="E135" s="20" t="n">
        <v>13467</v>
      </c>
      <c r="F135" s="20" t="n">
        <v>16553</v>
      </c>
      <c r="G135" s="20" t="n">
        <v>131651</v>
      </c>
      <c r="H135" s="20" t="n">
        <v>127751</v>
      </c>
      <c r="I135" s="31" t="n">
        <v>0.6221</v>
      </c>
      <c r="J135" s="32" t="b">
        <f aca="false">FALSE()</f>
        <v>0</v>
      </c>
      <c r="K135" s="32" t="b">
        <f aca="false">FALSE()</f>
        <v>0</v>
      </c>
      <c r="L135" s="32" t="b">
        <f aca="false">FALSE()</f>
        <v>0</v>
      </c>
      <c r="M135" s="32" t="b">
        <f aca="false">FALSE()</f>
        <v>0</v>
      </c>
      <c r="N135" s="6" t="str">
        <f aca="false">IF(OR(AND(B135=2024,C135&gt;=43),AND(B135=2025,C135&lt;=13)),"Temporada 2024-25",IF(AND(B135=2025,C135&gt;=36,C135&lt;=42),"Sep-oct 2025","Resto del año"))</f>
        <v>Resto del año</v>
      </c>
    </row>
    <row r="136" customFormat="false" ht="15" hidden="false" customHeight="false" outlineLevel="0" collapsed="false">
      <c r="A136" s="7" t="s">
        <v>46</v>
      </c>
      <c r="B136" s="7" t="n">
        <v>2024</v>
      </c>
      <c r="C136" s="7" t="n">
        <v>41</v>
      </c>
      <c r="D136" s="7" t="n">
        <v>10</v>
      </c>
      <c r="E136" s="20" t="n">
        <v>13442</v>
      </c>
      <c r="F136" s="20" t="n">
        <v>16553</v>
      </c>
      <c r="G136" s="20" t="n">
        <v>130573</v>
      </c>
      <c r="H136" s="20" t="n">
        <v>130437</v>
      </c>
      <c r="I136" s="31" t="n">
        <v>0.6156</v>
      </c>
      <c r="J136" s="32" t="b">
        <f aca="false">FALSE()</f>
        <v>0</v>
      </c>
      <c r="K136" s="32" t="b">
        <f aca="false">FALSE()</f>
        <v>0</v>
      </c>
      <c r="L136" s="32" t="b">
        <f aca="false">FALSE()</f>
        <v>0</v>
      </c>
      <c r="M136" s="32" t="b">
        <f aca="false">FALSE()</f>
        <v>0</v>
      </c>
      <c r="N136" s="6" t="str">
        <f aca="false">IF(OR(AND(B136=2024,C136&gt;=43),AND(B136=2025,C136&lt;=13)),"Temporada 2024-25",IF(AND(B136=2025,C136&gt;=36,C136&lt;=42),"Sep-oct 2025","Resto del año"))</f>
        <v>Resto del año</v>
      </c>
    </row>
    <row r="137" customFormat="false" ht="15" hidden="false" customHeight="false" outlineLevel="0" collapsed="false">
      <c r="A137" s="7" t="s">
        <v>46</v>
      </c>
      <c r="B137" s="7" t="n">
        <v>2024</v>
      </c>
      <c r="C137" s="7" t="n">
        <v>42</v>
      </c>
      <c r="D137" s="7" t="n">
        <v>10</v>
      </c>
      <c r="E137" s="20" t="n">
        <v>13017</v>
      </c>
      <c r="F137" s="20" t="n">
        <v>17033</v>
      </c>
      <c r="G137" s="20" t="n">
        <v>125425</v>
      </c>
      <c r="H137" s="20" t="n">
        <v>126798</v>
      </c>
      <c r="I137" s="31" t="n">
        <v>0.6256</v>
      </c>
      <c r="J137" s="32" t="b">
        <f aca="false">FALSE()</f>
        <v>0</v>
      </c>
      <c r="K137" s="32" t="b">
        <f aca="false">FALSE()</f>
        <v>0</v>
      </c>
      <c r="L137" s="32" t="b">
        <f aca="false">FALSE()</f>
        <v>0</v>
      </c>
      <c r="M137" s="32" t="b">
        <f aca="false">FALSE()</f>
        <v>0</v>
      </c>
      <c r="N137" s="6" t="str">
        <f aca="false">IF(OR(AND(B137=2024,C137&gt;=43),AND(B137=2025,C137&lt;=13)),"Temporada 2024-25",IF(AND(B137=2025,C137&gt;=36,C137&lt;=42),"Sep-oct 2025","Resto del año"))</f>
        <v>Resto del año</v>
      </c>
    </row>
    <row r="138" customFormat="false" ht="15" hidden="false" customHeight="false" outlineLevel="0" collapsed="false">
      <c r="A138" s="7" t="s">
        <v>46</v>
      </c>
      <c r="B138" s="7" t="n">
        <v>2024</v>
      </c>
      <c r="C138" s="7" t="n">
        <v>43</v>
      </c>
      <c r="D138" s="7" t="n">
        <v>10</v>
      </c>
      <c r="E138" s="20" t="n">
        <v>12287</v>
      </c>
      <c r="F138" s="20" t="n">
        <v>17279</v>
      </c>
      <c r="G138" s="20" t="n">
        <v>129635</v>
      </c>
      <c r="H138" s="20" t="n">
        <v>131567</v>
      </c>
      <c r="I138" s="31" t="n">
        <v>0.624</v>
      </c>
      <c r="J138" s="32" t="b">
        <f aca="false">FALSE()</f>
        <v>0</v>
      </c>
      <c r="K138" s="32" t="b">
        <f aca="false">FALSE()</f>
        <v>0</v>
      </c>
      <c r="L138" s="32" t="b">
        <f aca="false">FALSE()</f>
        <v>0</v>
      </c>
      <c r="M138" s="32" t="b">
        <f aca="false">FALSE()</f>
        <v>0</v>
      </c>
      <c r="N138" s="6" t="str">
        <f aca="false">IF(OR(AND(B138=2024,C138&gt;=43),AND(B138=2025,C138&lt;=13)),"Temporada 2024-25",IF(AND(B138=2025,C138&gt;=36,C138&lt;=42),"Sep-oct 2025","Resto del año"))</f>
        <v>Temporada 2024-25</v>
      </c>
    </row>
    <row r="139" customFormat="false" ht="15" hidden="false" customHeight="false" outlineLevel="0" collapsed="false">
      <c r="A139" s="7" t="s">
        <v>46</v>
      </c>
      <c r="B139" s="7" t="n">
        <v>2024</v>
      </c>
      <c r="C139" s="7" t="n">
        <v>44</v>
      </c>
      <c r="D139" s="7" t="n">
        <v>10</v>
      </c>
      <c r="E139" s="20" t="n">
        <v>15933</v>
      </c>
      <c r="F139" s="20" t="n">
        <v>18812</v>
      </c>
      <c r="G139" s="20" t="n">
        <v>127839</v>
      </c>
      <c r="H139" s="20" t="n">
        <v>129807</v>
      </c>
      <c r="I139" s="31" t="n">
        <v>0.6493</v>
      </c>
      <c r="J139" s="32" t="b">
        <f aca="false">FALSE()</f>
        <v>0</v>
      </c>
      <c r="K139" s="32" t="b">
        <f aca="false">FALSE()</f>
        <v>0</v>
      </c>
      <c r="L139" s="32" t="b">
        <f aca="false">FALSE()</f>
        <v>0</v>
      </c>
      <c r="M139" s="32" t="b">
        <f aca="false">FALSE()</f>
        <v>0</v>
      </c>
      <c r="N139" s="6" t="str">
        <f aca="false">IF(OR(AND(B139=2024,C139&gt;=43),AND(B139=2025,C139&lt;=13)),"Temporada 2024-25",IF(AND(B139=2025,C139&gt;=36,C139&lt;=42),"Sep-oct 2025","Resto del año"))</f>
        <v>Temporada 2024-25</v>
      </c>
    </row>
    <row r="140" customFormat="false" ht="15" hidden="false" customHeight="false" outlineLevel="0" collapsed="false">
      <c r="A140" s="7" t="s">
        <v>46</v>
      </c>
      <c r="B140" s="7" t="n">
        <v>2024</v>
      </c>
      <c r="C140" s="7" t="n">
        <v>45</v>
      </c>
      <c r="D140" s="7" t="n">
        <v>11</v>
      </c>
      <c r="E140" s="20" t="n">
        <v>13717</v>
      </c>
      <c r="F140" s="20" t="n">
        <v>17746</v>
      </c>
      <c r="G140" s="20" t="n">
        <v>136516</v>
      </c>
      <c r="H140" s="20" t="n">
        <v>128414</v>
      </c>
      <c r="I140" s="31" t="n">
        <v>0.6678</v>
      </c>
      <c r="J140" s="32" t="b">
        <f aca="false">FALSE()</f>
        <v>0</v>
      </c>
      <c r="K140" s="32" t="b">
        <f aca="false">FALSE()</f>
        <v>0</v>
      </c>
      <c r="L140" s="32" t="b">
        <f aca="false">FALSE()</f>
        <v>0</v>
      </c>
      <c r="M140" s="32" t="b">
        <f aca="false">FALSE()</f>
        <v>0</v>
      </c>
      <c r="N140" s="6" t="str">
        <f aca="false">IF(OR(AND(B140=2024,C140&gt;=43),AND(B140=2025,C140&lt;=13)),"Temporada 2024-25",IF(AND(B140=2025,C140&gt;=36,C140&lt;=42),"Sep-oct 2025","Resto del año"))</f>
        <v>Temporada 2024-25</v>
      </c>
    </row>
    <row r="141" customFormat="false" ht="15" hidden="false" customHeight="false" outlineLevel="0" collapsed="false">
      <c r="A141" s="7" t="s">
        <v>46</v>
      </c>
      <c r="B141" s="7" t="n">
        <v>2024</v>
      </c>
      <c r="C141" s="7" t="n">
        <v>46</v>
      </c>
      <c r="D141" s="7" t="n">
        <v>11</v>
      </c>
      <c r="E141" s="20" t="n">
        <v>17860</v>
      </c>
      <c r="F141" s="20" t="n">
        <v>22136</v>
      </c>
      <c r="G141" s="20" t="n">
        <v>131413</v>
      </c>
      <c r="H141" s="20" t="n">
        <v>135551</v>
      </c>
      <c r="I141" s="31" t="n">
        <v>0.7143</v>
      </c>
      <c r="J141" s="32" t="b">
        <f aca="false">FALSE()</f>
        <v>0</v>
      </c>
      <c r="K141" s="32" t="b">
        <f aca="false">FALSE()</f>
        <v>0</v>
      </c>
      <c r="L141" s="32" t="b">
        <f aca="false">FALSE()</f>
        <v>0</v>
      </c>
      <c r="M141" s="32" t="b">
        <f aca="false">FALSE()</f>
        <v>0</v>
      </c>
      <c r="N141" s="6" t="str">
        <f aca="false">IF(OR(AND(B141=2024,C141&gt;=43),AND(B141=2025,C141&lt;=13)),"Temporada 2024-25",IF(AND(B141=2025,C141&gt;=36,C141&lt;=42),"Sep-oct 2025","Resto del año"))</f>
        <v>Temporada 2024-25</v>
      </c>
    </row>
    <row r="142" customFormat="false" ht="15" hidden="false" customHeight="false" outlineLevel="0" collapsed="false">
      <c r="A142" s="7" t="s">
        <v>46</v>
      </c>
      <c r="B142" s="7" t="n">
        <v>2024</v>
      </c>
      <c r="C142" s="7" t="n">
        <v>47</v>
      </c>
      <c r="D142" s="7" t="n">
        <v>11</v>
      </c>
      <c r="E142" s="20" t="n">
        <v>19482</v>
      </c>
      <c r="F142" s="20" t="n">
        <v>22840</v>
      </c>
      <c r="G142" s="20" t="n">
        <v>126418</v>
      </c>
      <c r="H142" s="20" t="n">
        <v>127890</v>
      </c>
      <c r="I142" s="31" t="n">
        <v>0.7765</v>
      </c>
      <c r="J142" s="32" t="b">
        <f aca="false">FALSE()</f>
        <v>0</v>
      </c>
      <c r="K142" s="32" t="b">
        <f aca="false">FALSE()</f>
        <v>0</v>
      </c>
      <c r="L142" s="32" t="b">
        <f aca="false">FALSE()</f>
        <v>0</v>
      </c>
      <c r="M142" s="32" t="b">
        <f aca="false">FALSE()</f>
        <v>0</v>
      </c>
      <c r="N142" s="6" t="str">
        <f aca="false">IF(OR(AND(B142=2024,C142&gt;=43),AND(B142=2025,C142&lt;=13)),"Temporada 2024-25",IF(AND(B142=2025,C142&gt;=36,C142&lt;=42),"Sep-oct 2025","Resto del año"))</f>
        <v>Temporada 2024-25</v>
      </c>
    </row>
    <row r="143" customFormat="false" ht="15" hidden="false" customHeight="false" outlineLevel="0" collapsed="false">
      <c r="A143" s="7" t="s">
        <v>46</v>
      </c>
      <c r="B143" s="7" t="n">
        <v>2024</v>
      </c>
      <c r="C143" s="7" t="n">
        <v>48</v>
      </c>
      <c r="D143" s="7" t="n">
        <v>11</v>
      </c>
      <c r="E143" s="20" t="n">
        <v>20754</v>
      </c>
      <c r="F143" s="20" t="n">
        <v>25216</v>
      </c>
      <c r="G143" s="20" t="n">
        <v>132160</v>
      </c>
      <c r="H143" s="20" t="n">
        <v>131037</v>
      </c>
      <c r="I143" s="31" t="n">
        <v>0.8583</v>
      </c>
      <c r="J143" s="32" t="b">
        <f aca="false">FALSE()</f>
        <v>0</v>
      </c>
      <c r="K143" s="32" t="b">
        <f aca="false">FALSE()</f>
        <v>0</v>
      </c>
      <c r="L143" s="32" t="b">
        <f aca="false">FALSE()</f>
        <v>0</v>
      </c>
      <c r="M143" s="32" t="b">
        <f aca="false">FALSE()</f>
        <v>0</v>
      </c>
      <c r="N143" s="6" t="str">
        <f aca="false">IF(OR(AND(B143=2024,C143&gt;=43),AND(B143=2025,C143&lt;=13)),"Temporada 2024-25",IF(AND(B143=2025,C143&gt;=36,C143&lt;=42),"Sep-oct 2025","Resto del año"))</f>
        <v>Temporada 2024-25</v>
      </c>
    </row>
    <row r="144" customFormat="false" ht="15" hidden="false" customHeight="false" outlineLevel="0" collapsed="false">
      <c r="A144" s="7" t="s">
        <v>46</v>
      </c>
      <c r="B144" s="7" t="n">
        <v>2024</v>
      </c>
      <c r="C144" s="7" t="n">
        <v>49</v>
      </c>
      <c r="D144" s="7" t="n">
        <v>12</v>
      </c>
      <c r="E144" s="20" t="n">
        <v>18126</v>
      </c>
      <c r="F144" s="20" t="n">
        <v>25039</v>
      </c>
      <c r="G144" s="20" t="n">
        <v>140245</v>
      </c>
      <c r="H144" s="20" t="n">
        <v>130016</v>
      </c>
      <c r="I144" s="31" t="n">
        <v>0.9446</v>
      </c>
      <c r="J144" s="32" t="b">
        <f aca="false">FALSE()</f>
        <v>0</v>
      </c>
      <c r="K144" s="32" t="b">
        <f aca="false">FALSE()</f>
        <v>0</v>
      </c>
      <c r="L144" s="32" t="b">
        <f aca="false">FALSE()</f>
        <v>0</v>
      </c>
      <c r="M144" s="32" t="b">
        <f aca="false">FALSE()</f>
        <v>0</v>
      </c>
      <c r="N144" s="6" t="str">
        <f aca="false">IF(OR(AND(B144=2024,C144&gt;=43),AND(B144=2025,C144&lt;=13)),"Temporada 2024-25",IF(AND(B144=2025,C144&gt;=36,C144&lt;=42),"Sep-oct 2025","Resto del año"))</f>
        <v>Temporada 2024-25</v>
      </c>
    </row>
    <row r="145" customFormat="false" ht="15" hidden="false" customHeight="false" outlineLevel="0" collapsed="false">
      <c r="A145" s="7" t="s">
        <v>46</v>
      </c>
      <c r="B145" s="7" t="n">
        <v>2024</v>
      </c>
      <c r="C145" s="7" t="n">
        <v>50</v>
      </c>
      <c r="D145" s="7" t="n">
        <v>12</v>
      </c>
      <c r="E145" s="20" t="n">
        <v>19574</v>
      </c>
      <c r="F145" s="20" t="n">
        <v>22161</v>
      </c>
      <c r="G145" s="20" t="n">
        <v>138545</v>
      </c>
      <c r="H145" s="20" t="n">
        <v>140729</v>
      </c>
      <c r="I145" s="31" t="n">
        <v>0.9656</v>
      </c>
      <c r="J145" s="32" t="b">
        <f aca="false">FALSE()</f>
        <v>0</v>
      </c>
      <c r="K145" s="32" t="b">
        <f aca="false">FALSE()</f>
        <v>0</v>
      </c>
      <c r="L145" s="32" t="b">
        <f aca="false">FALSE()</f>
        <v>0</v>
      </c>
      <c r="M145" s="32" t="b">
        <f aca="false">FALSE()</f>
        <v>0</v>
      </c>
      <c r="N145" s="6" t="str">
        <f aca="false">IF(OR(AND(B145=2024,C145&gt;=43),AND(B145=2025,C145&lt;=13)),"Temporada 2024-25",IF(AND(B145=2025,C145&gt;=36,C145&lt;=42),"Sep-oct 2025","Resto del año"))</f>
        <v>Temporada 2024-25</v>
      </c>
    </row>
    <row r="146" customFormat="false" ht="15" hidden="false" customHeight="false" outlineLevel="0" collapsed="false">
      <c r="A146" s="7" t="s">
        <v>46</v>
      </c>
      <c r="B146" s="7" t="n">
        <v>2024</v>
      </c>
      <c r="C146" s="7" t="n">
        <v>51</v>
      </c>
      <c r="D146" s="7" t="n">
        <v>12</v>
      </c>
      <c r="E146" s="20" t="n">
        <v>18010</v>
      </c>
      <c r="F146" s="20" t="n">
        <v>20387</v>
      </c>
      <c r="G146" s="20" t="n">
        <v>153748</v>
      </c>
      <c r="H146" s="20" t="n">
        <v>149152</v>
      </c>
      <c r="I146" s="31" t="n">
        <v>0.951</v>
      </c>
      <c r="J146" s="32" t="b">
        <f aca="false">FALSE()</f>
        <v>0</v>
      </c>
      <c r="K146" s="32" t="b">
        <f aca="false">FALSE()</f>
        <v>0</v>
      </c>
      <c r="L146" s="32" t="b">
        <f aca="false">FALSE()</f>
        <v>0</v>
      </c>
      <c r="M146" s="32" t="b">
        <f aca="false">FALSE()</f>
        <v>0</v>
      </c>
      <c r="N146" s="6" t="str">
        <f aca="false">IF(OR(AND(B146=2024,C146&gt;=43),AND(B146=2025,C146&lt;=13)),"Temporada 2024-25",IF(AND(B146=2025,C146&gt;=36,C146&lt;=42),"Sep-oct 2025","Resto del año"))</f>
        <v>Temporada 2024-25</v>
      </c>
    </row>
    <row r="147" customFormat="false" ht="15" hidden="false" customHeight="false" outlineLevel="0" collapsed="false">
      <c r="A147" s="7" t="s">
        <v>46</v>
      </c>
      <c r="B147" s="7" t="n">
        <v>2024</v>
      </c>
      <c r="C147" s="7" t="n">
        <v>52</v>
      </c>
      <c r="D147" s="7" t="n">
        <v>12</v>
      </c>
      <c r="E147" s="20" t="n">
        <v>15402</v>
      </c>
      <c r="F147" s="20" t="n">
        <v>17122</v>
      </c>
      <c r="G147" s="20" t="n">
        <v>140436</v>
      </c>
      <c r="H147" s="20" t="n">
        <v>144590</v>
      </c>
      <c r="I147" s="31" t="n">
        <v>0.9201</v>
      </c>
      <c r="J147" s="32" t="b">
        <f aca="false">FALSE()</f>
        <v>0</v>
      </c>
      <c r="K147" s="32" t="b">
        <f aca="false">FALSE()</f>
        <v>0</v>
      </c>
      <c r="L147" s="32" t="b">
        <f aca="false">FALSE()</f>
        <v>0</v>
      </c>
      <c r="M147" s="32" t="b">
        <f aca="false">FALSE()</f>
        <v>0</v>
      </c>
      <c r="N147" s="6" t="str">
        <f aca="false">IF(OR(AND(B147=2024,C147&gt;=43),AND(B147=2025,C147&lt;=13)),"Temporada 2024-25",IF(AND(B147=2025,C147&gt;=36,C147&lt;=42),"Sep-oct 2025","Resto del año"))</f>
        <v>Temporada 2024-25</v>
      </c>
    </row>
    <row r="148" customFormat="false" ht="15" hidden="false" customHeight="false" outlineLevel="0" collapsed="false">
      <c r="A148" s="7" t="s">
        <v>46</v>
      </c>
      <c r="B148" s="7" t="n">
        <v>2025</v>
      </c>
      <c r="C148" s="7" t="n">
        <v>1</v>
      </c>
      <c r="D148" s="7" t="n">
        <v>12</v>
      </c>
      <c r="E148" s="20" t="n">
        <v>13297</v>
      </c>
      <c r="F148" s="20" t="n">
        <v>13765</v>
      </c>
      <c r="G148" s="20" t="n">
        <v>141256</v>
      </c>
      <c r="H148" s="20" t="n">
        <v>131992</v>
      </c>
      <c r="I148" s="31" t="n">
        <v>0.8621</v>
      </c>
      <c r="J148" s="32" t="b">
        <f aca="false">FALSE()</f>
        <v>0</v>
      </c>
      <c r="K148" s="32" t="b">
        <f aca="false">FALSE()</f>
        <v>0</v>
      </c>
      <c r="L148" s="32" t="b">
        <f aca="false">FALSE()</f>
        <v>0</v>
      </c>
      <c r="M148" s="32" t="b">
        <f aca="false">FALSE()</f>
        <v>0</v>
      </c>
      <c r="N148" s="6" t="str">
        <f aca="false">IF(OR(AND(B148=2024,C148&gt;=43),AND(B148=2025,C148&lt;=13)),"Temporada 2024-25",IF(AND(B148=2025,C148&gt;=36,C148&lt;=42),"Sep-oct 2025","Resto del año"))</f>
        <v>Temporada 2024-25</v>
      </c>
    </row>
    <row r="149" customFormat="false" ht="15" hidden="false" customHeight="false" outlineLevel="0" collapsed="false">
      <c r="A149" s="7" t="s">
        <v>46</v>
      </c>
      <c r="B149" s="7" t="n">
        <v>2025</v>
      </c>
      <c r="C149" s="7" t="n">
        <v>2</v>
      </c>
      <c r="D149" s="7" t="n">
        <v>1</v>
      </c>
      <c r="E149" s="20" t="n">
        <v>10842</v>
      </c>
      <c r="F149" s="20" t="n">
        <v>11649</v>
      </c>
      <c r="G149" s="20" t="n">
        <v>141311</v>
      </c>
      <c r="H149" s="20" t="n">
        <v>139085</v>
      </c>
      <c r="I149" s="31" t="n">
        <v>0.7753</v>
      </c>
      <c r="J149" s="32" t="b">
        <f aca="false">FALSE()</f>
        <v>0</v>
      </c>
      <c r="K149" s="32" t="b">
        <f aca="false">FALSE()</f>
        <v>0</v>
      </c>
      <c r="L149" s="32" t="b">
        <f aca="false">FALSE()</f>
        <v>0</v>
      </c>
      <c r="M149" s="32" t="b">
        <f aca="false">FALSE()</f>
        <v>0</v>
      </c>
      <c r="N149" s="6" t="str">
        <f aca="false">IF(OR(AND(B149=2024,C149&gt;=43),AND(B149=2025,C149&lt;=13)),"Temporada 2024-25",IF(AND(B149=2025,C149&gt;=36,C149&lt;=42),"Sep-oct 2025","Resto del año"))</f>
        <v>Temporada 2024-25</v>
      </c>
    </row>
    <row r="150" customFormat="false" ht="15" hidden="false" customHeight="false" outlineLevel="0" collapsed="false">
      <c r="A150" s="7" t="s">
        <v>46</v>
      </c>
      <c r="B150" s="7" t="n">
        <v>2025</v>
      </c>
      <c r="C150" s="7" t="n">
        <v>3</v>
      </c>
      <c r="D150" s="7" t="n">
        <v>1</v>
      </c>
      <c r="E150" s="20" t="n">
        <v>9824</v>
      </c>
      <c r="F150" s="20" t="n">
        <v>10518</v>
      </c>
      <c r="G150" s="20" t="n">
        <v>131308</v>
      </c>
      <c r="H150" s="20" t="n">
        <v>127499</v>
      </c>
      <c r="I150" s="31" t="n">
        <v>0.6909</v>
      </c>
      <c r="J150" s="32" t="b">
        <f aca="false">FALSE()</f>
        <v>0</v>
      </c>
      <c r="K150" s="32" t="b">
        <f aca="false">FALSE()</f>
        <v>0</v>
      </c>
      <c r="L150" s="32" t="b">
        <f aca="false">FALSE()</f>
        <v>0</v>
      </c>
      <c r="M150" s="32" t="b">
        <f aca="false">FALSE()</f>
        <v>0</v>
      </c>
      <c r="N150" s="6" t="str">
        <f aca="false">IF(OR(AND(B150=2024,C150&gt;=43),AND(B150=2025,C150&lt;=13)),"Temporada 2024-25",IF(AND(B150=2025,C150&gt;=36,C150&lt;=42),"Sep-oct 2025","Resto del año"))</f>
        <v>Temporada 2024-25</v>
      </c>
    </row>
    <row r="151" customFormat="false" ht="15" hidden="false" customHeight="false" outlineLevel="0" collapsed="false">
      <c r="A151" s="7" t="s">
        <v>46</v>
      </c>
      <c r="B151" s="7" t="n">
        <v>2025</v>
      </c>
      <c r="C151" s="7" t="n">
        <v>4</v>
      </c>
      <c r="D151" s="7" t="n">
        <v>1</v>
      </c>
      <c r="E151" s="20" t="n">
        <v>10653</v>
      </c>
      <c r="F151" s="20" t="n">
        <v>11509</v>
      </c>
      <c r="G151" s="20" t="n">
        <v>124428</v>
      </c>
      <c r="H151" s="20" t="n">
        <v>130695</v>
      </c>
      <c r="I151" s="31" t="n">
        <v>0.6253</v>
      </c>
      <c r="J151" s="32" t="b">
        <f aca="false">FALSE()</f>
        <v>0</v>
      </c>
      <c r="K151" s="32" t="b">
        <f aca="false">FALSE()</f>
        <v>0</v>
      </c>
      <c r="L151" s="32" t="b">
        <f aca="false">FALSE()</f>
        <v>0</v>
      </c>
      <c r="M151" s="32" t="b">
        <f aca="false">FALSE()</f>
        <v>0</v>
      </c>
      <c r="N151" s="6" t="str">
        <f aca="false">IF(OR(AND(B151=2024,C151&gt;=43),AND(B151=2025,C151&lt;=13)),"Temporada 2024-25",IF(AND(B151=2025,C151&gt;=36,C151&lt;=42),"Sep-oct 2025","Resto del año"))</f>
        <v>Temporada 2024-25</v>
      </c>
    </row>
    <row r="152" customFormat="false" ht="15" hidden="false" customHeight="false" outlineLevel="0" collapsed="false">
      <c r="A152" s="7" t="s">
        <v>46</v>
      </c>
      <c r="B152" s="7" t="n">
        <v>2025</v>
      </c>
      <c r="C152" s="7" t="n">
        <v>5</v>
      </c>
      <c r="D152" s="7" t="n">
        <v>1</v>
      </c>
      <c r="E152" s="20" t="n">
        <v>14152</v>
      </c>
      <c r="F152" s="20" t="n">
        <v>15174</v>
      </c>
      <c r="G152" s="20" t="n">
        <v>134487</v>
      </c>
      <c r="H152" s="20" t="n">
        <v>136154</v>
      </c>
      <c r="I152" s="31" t="n">
        <v>0.5959</v>
      </c>
      <c r="J152" s="32" t="b">
        <f aca="false">FALSE()</f>
        <v>0</v>
      </c>
      <c r="K152" s="32" t="b">
        <f aca="false">FALSE()</f>
        <v>0</v>
      </c>
      <c r="L152" s="32" t="b">
        <f aca="false">FALSE()</f>
        <v>0</v>
      </c>
      <c r="M152" s="32" t="b">
        <f aca="false">FALSE()</f>
        <v>0</v>
      </c>
      <c r="N152" s="6" t="str">
        <f aca="false">IF(OR(AND(B152=2024,C152&gt;=43),AND(B152=2025,C152&lt;=13)),"Temporada 2024-25",IF(AND(B152=2025,C152&gt;=36,C152&lt;=42),"Sep-oct 2025","Resto del año"))</f>
        <v>Temporada 2024-25</v>
      </c>
    </row>
    <row r="153" customFormat="false" ht="15" hidden="false" customHeight="false" outlineLevel="0" collapsed="false">
      <c r="A153" s="7" t="s">
        <v>46</v>
      </c>
      <c r="B153" s="7" t="n">
        <v>2025</v>
      </c>
      <c r="C153" s="7" t="n">
        <v>6</v>
      </c>
      <c r="D153" s="7" t="n">
        <v>2</v>
      </c>
      <c r="E153" s="20" t="n">
        <v>15493</v>
      </c>
      <c r="F153" s="20" t="n">
        <v>16967</v>
      </c>
      <c r="G153" s="20" t="n">
        <v>149942</v>
      </c>
      <c r="H153" s="20" t="n">
        <v>143120</v>
      </c>
      <c r="I153" s="31" t="n">
        <v>0.5931</v>
      </c>
      <c r="J153" s="32" t="b">
        <f aca="false">FALSE()</f>
        <v>0</v>
      </c>
      <c r="K153" s="32" t="b">
        <f aca="false">FALSE()</f>
        <v>0</v>
      </c>
      <c r="L153" s="32" t="b">
        <f aca="false">FALSE()</f>
        <v>0</v>
      </c>
      <c r="M153" s="32" t="b">
        <f aca="false">FALSE()</f>
        <v>0</v>
      </c>
      <c r="N153" s="6" t="str">
        <f aca="false">IF(OR(AND(B153=2024,C153&gt;=43),AND(B153=2025,C153&lt;=13)),"Temporada 2024-25",IF(AND(B153=2025,C153&gt;=36,C153&lt;=42),"Sep-oct 2025","Resto del año"))</f>
        <v>Temporada 2024-25</v>
      </c>
    </row>
    <row r="154" customFormat="false" ht="15" hidden="false" customHeight="false" outlineLevel="0" collapsed="false">
      <c r="A154" s="7" t="s">
        <v>46</v>
      </c>
      <c r="B154" s="7" t="n">
        <v>2025</v>
      </c>
      <c r="C154" s="7" t="n">
        <v>7</v>
      </c>
      <c r="D154" s="7" t="n">
        <v>2</v>
      </c>
      <c r="E154" s="20" t="n">
        <v>15155</v>
      </c>
      <c r="F154" s="20" t="n">
        <v>18766</v>
      </c>
      <c r="G154" s="20" t="n">
        <v>147177</v>
      </c>
      <c r="H154" s="20" t="n">
        <v>146577</v>
      </c>
      <c r="I154" s="31" t="n">
        <v>0.5994</v>
      </c>
      <c r="J154" s="32" t="b">
        <f aca="false">FALSE()</f>
        <v>0</v>
      </c>
      <c r="K154" s="32" t="b">
        <f aca="false">FALSE()</f>
        <v>0</v>
      </c>
      <c r="L154" s="32" t="b">
        <f aca="false">FALSE()</f>
        <v>0</v>
      </c>
      <c r="M154" s="32" t="b">
        <f aca="false">FALSE()</f>
        <v>0</v>
      </c>
      <c r="N154" s="6" t="str">
        <f aca="false">IF(OR(AND(B154=2024,C154&gt;=43),AND(B154=2025,C154&lt;=13)),"Temporada 2024-25",IF(AND(B154=2025,C154&gt;=36,C154&lt;=42),"Sep-oct 2025","Resto del año"))</f>
        <v>Temporada 2024-25</v>
      </c>
    </row>
    <row r="155" customFormat="false" ht="15" hidden="false" customHeight="false" outlineLevel="0" collapsed="false">
      <c r="A155" s="7" t="s">
        <v>46</v>
      </c>
      <c r="B155" s="7" t="n">
        <v>2025</v>
      </c>
      <c r="C155" s="7" t="n">
        <v>8</v>
      </c>
      <c r="D155" s="7" t="n">
        <v>2</v>
      </c>
      <c r="E155" s="20" t="n">
        <v>17322</v>
      </c>
      <c r="F155" s="20" t="n">
        <v>17447</v>
      </c>
      <c r="G155" s="20" t="n">
        <v>143572</v>
      </c>
      <c r="H155" s="20" t="n">
        <v>141260</v>
      </c>
      <c r="I155" s="31" t="n">
        <v>0.5878</v>
      </c>
      <c r="J155" s="32" t="b">
        <f aca="false">FALSE()</f>
        <v>0</v>
      </c>
      <c r="K155" s="32" t="b">
        <f aca="false">FALSE()</f>
        <v>0</v>
      </c>
      <c r="L155" s="32" t="b">
        <f aca="false">FALSE()</f>
        <v>0</v>
      </c>
      <c r="M155" s="32" t="b">
        <f aca="false">FALSE()</f>
        <v>0</v>
      </c>
      <c r="N155" s="6" t="str">
        <f aca="false">IF(OR(AND(B155=2024,C155&gt;=43),AND(B155=2025,C155&lt;=13)),"Temporada 2024-25",IF(AND(B155=2025,C155&gt;=36,C155&lt;=42),"Sep-oct 2025","Resto del año"))</f>
        <v>Temporada 2024-25</v>
      </c>
    </row>
    <row r="156" customFormat="false" ht="15" hidden="false" customHeight="false" outlineLevel="0" collapsed="false">
      <c r="A156" s="7" t="s">
        <v>46</v>
      </c>
      <c r="B156" s="7" t="n">
        <v>2025</v>
      </c>
      <c r="C156" s="7" t="n">
        <v>9</v>
      </c>
      <c r="D156" s="7" t="n">
        <v>2</v>
      </c>
      <c r="E156" s="20" t="n">
        <v>20164</v>
      </c>
      <c r="F156" s="20" t="n">
        <v>19516</v>
      </c>
      <c r="G156" s="20" t="n">
        <v>151887</v>
      </c>
      <c r="H156" s="20" t="n">
        <v>149875</v>
      </c>
      <c r="I156" s="31" t="n">
        <v>0.593</v>
      </c>
      <c r="J156" s="32" t="b">
        <f aca="false">FALSE()</f>
        <v>0</v>
      </c>
      <c r="K156" s="32" t="b">
        <f aca="false">FALSE()</f>
        <v>0</v>
      </c>
      <c r="L156" s="32" t="b">
        <f aca="false">FALSE()</f>
        <v>0</v>
      </c>
      <c r="M156" s="32" t="b">
        <f aca="false">FALSE()</f>
        <v>0</v>
      </c>
      <c r="N156" s="6" t="str">
        <f aca="false">IF(OR(AND(B156=2024,C156&gt;=43),AND(B156=2025,C156&lt;=13)),"Temporada 2024-25",IF(AND(B156=2025,C156&gt;=36,C156&lt;=42),"Sep-oct 2025","Resto del año"))</f>
        <v>Temporada 2024-25</v>
      </c>
    </row>
    <row r="157" customFormat="false" ht="15" hidden="false" customHeight="false" outlineLevel="0" collapsed="false">
      <c r="A157" s="7" t="s">
        <v>46</v>
      </c>
      <c r="B157" s="7" t="n">
        <v>2025</v>
      </c>
      <c r="C157" s="7" t="n">
        <v>10</v>
      </c>
      <c r="D157" s="7" t="n">
        <v>3</v>
      </c>
      <c r="E157" s="20" t="n">
        <v>18488</v>
      </c>
      <c r="F157" s="20" t="n">
        <v>20103</v>
      </c>
      <c r="G157" s="20" t="n">
        <v>143986</v>
      </c>
      <c r="H157" s="20" t="n">
        <v>151451</v>
      </c>
      <c r="I157" s="31" t="n">
        <v>0.618</v>
      </c>
      <c r="J157" s="32" t="b">
        <f aca="false">FALSE()</f>
        <v>0</v>
      </c>
      <c r="K157" s="32" t="b">
        <f aca="false">FALSE()</f>
        <v>0</v>
      </c>
      <c r="L157" s="32" t="b">
        <f aca="false">FALSE()</f>
        <v>0</v>
      </c>
      <c r="M157" s="32" t="b">
        <f aca="false">FALSE()</f>
        <v>0</v>
      </c>
      <c r="N157" s="6" t="str">
        <f aca="false">IF(OR(AND(B157=2024,C157&gt;=43),AND(B157=2025,C157&lt;=13)),"Temporada 2024-25",IF(AND(B157=2025,C157&gt;=36,C157&lt;=42),"Sep-oct 2025","Resto del año"))</f>
        <v>Temporada 2024-25</v>
      </c>
    </row>
    <row r="158" customFormat="false" ht="15" hidden="false" customHeight="false" outlineLevel="0" collapsed="false">
      <c r="A158" s="7" t="s">
        <v>46</v>
      </c>
      <c r="B158" s="7" t="n">
        <v>2025</v>
      </c>
      <c r="C158" s="7" t="n">
        <v>11</v>
      </c>
      <c r="D158" s="7" t="n">
        <v>3</v>
      </c>
      <c r="E158" s="20" t="n">
        <v>16577</v>
      </c>
      <c r="F158" s="20" t="n">
        <v>19067</v>
      </c>
      <c r="G158" s="20" t="n">
        <v>140096</v>
      </c>
      <c r="H158" s="20" t="n">
        <v>143263</v>
      </c>
      <c r="I158" s="31" t="n">
        <v>0.6289</v>
      </c>
      <c r="J158" s="32" t="b">
        <f aca="false">FALSE()</f>
        <v>0</v>
      </c>
      <c r="K158" s="32" t="b">
        <f aca="false">FALSE()</f>
        <v>0</v>
      </c>
      <c r="L158" s="32" t="b">
        <f aca="false">FALSE()</f>
        <v>0</v>
      </c>
      <c r="M158" s="32" t="b">
        <f aca="false">FALSE()</f>
        <v>0</v>
      </c>
      <c r="N158" s="6" t="str">
        <f aca="false">IF(OR(AND(B158=2024,C158&gt;=43),AND(B158=2025,C158&lt;=13)),"Temporada 2024-25",IF(AND(B158=2025,C158&gt;=36,C158&lt;=42),"Sep-oct 2025","Resto del año"))</f>
        <v>Temporada 2024-25</v>
      </c>
    </row>
    <row r="159" customFormat="false" ht="15" hidden="false" customHeight="false" outlineLevel="0" collapsed="false">
      <c r="A159" s="7" t="s">
        <v>46</v>
      </c>
      <c r="B159" s="7" t="n">
        <v>2025</v>
      </c>
      <c r="C159" s="7" t="n">
        <v>12</v>
      </c>
      <c r="D159" s="7" t="n">
        <v>3</v>
      </c>
      <c r="E159" s="20" t="n">
        <v>16963</v>
      </c>
      <c r="F159" s="20" t="n">
        <v>18589</v>
      </c>
      <c r="G159" s="20" t="n">
        <v>157156</v>
      </c>
      <c r="H159" s="20" t="n">
        <v>152396</v>
      </c>
      <c r="I159" s="31" t="n">
        <v>0.6222</v>
      </c>
      <c r="J159" s="32" t="b">
        <f aca="false">FALSE()</f>
        <v>0</v>
      </c>
      <c r="K159" s="32" t="b">
        <f aca="false">FALSE()</f>
        <v>0</v>
      </c>
      <c r="L159" s="32" t="b">
        <f aca="false">FALSE()</f>
        <v>0</v>
      </c>
      <c r="M159" s="32" t="b">
        <f aca="false">FALSE()</f>
        <v>0</v>
      </c>
      <c r="N159" s="6" t="str">
        <f aca="false">IF(OR(AND(B159=2024,C159&gt;=43),AND(B159=2025,C159&lt;=13)),"Temporada 2024-25",IF(AND(B159=2025,C159&gt;=36,C159&lt;=42),"Sep-oct 2025","Resto del año"))</f>
        <v>Temporada 2024-25</v>
      </c>
    </row>
    <row r="160" customFormat="false" ht="15" hidden="false" customHeight="false" outlineLevel="0" collapsed="false">
      <c r="A160" s="7" t="s">
        <v>46</v>
      </c>
      <c r="B160" s="7" t="n">
        <v>2025</v>
      </c>
      <c r="C160" s="7" t="n">
        <v>13</v>
      </c>
      <c r="D160" s="7" t="n">
        <v>3</v>
      </c>
      <c r="E160" s="20" t="n">
        <v>18123</v>
      </c>
      <c r="F160" s="20" t="n">
        <v>19019</v>
      </c>
      <c r="G160" s="20" t="n">
        <v>137618</v>
      </c>
      <c r="H160" s="20" t="n">
        <v>148927</v>
      </c>
      <c r="I160" s="31" t="n">
        <v>0.6156</v>
      </c>
      <c r="J160" s="32" t="b">
        <f aca="false">FALSE()</f>
        <v>0</v>
      </c>
      <c r="K160" s="32" t="b">
        <f aca="false">FALSE()</f>
        <v>0</v>
      </c>
      <c r="L160" s="32" t="b">
        <f aca="false">FALSE()</f>
        <v>0</v>
      </c>
      <c r="M160" s="32" t="b">
        <f aca="false">FALSE()</f>
        <v>0</v>
      </c>
      <c r="N160" s="6" t="str">
        <f aca="false">IF(OR(AND(B160=2024,C160&gt;=43),AND(B160=2025,C160&lt;=13)),"Temporada 2024-25",IF(AND(B160=2025,C160&gt;=36,C160&lt;=42),"Sep-oct 2025","Resto del año"))</f>
        <v>Temporada 2024-25</v>
      </c>
    </row>
    <row r="161" customFormat="false" ht="15" hidden="false" customHeight="false" outlineLevel="0" collapsed="false">
      <c r="A161" s="7" t="s">
        <v>46</v>
      </c>
      <c r="B161" s="7" t="n">
        <v>2025</v>
      </c>
      <c r="C161" s="7" t="n">
        <v>14</v>
      </c>
      <c r="D161" s="7" t="n">
        <v>3</v>
      </c>
      <c r="E161" s="20" t="n">
        <v>17130</v>
      </c>
      <c r="F161" s="20" t="n">
        <v>18309</v>
      </c>
      <c r="G161" s="20" t="n">
        <v>144303</v>
      </c>
      <c r="H161" s="20" t="n">
        <v>138642</v>
      </c>
      <c r="I161" s="31" t="n">
        <v>0.622</v>
      </c>
      <c r="J161" s="32" t="b">
        <f aca="false">FALSE()</f>
        <v>0</v>
      </c>
      <c r="K161" s="32" t="b">
        <f aca="false">FALSE()</f>
        <v>0</v>
      </c>
      <c r="L161" s="32" t="b">
        <f aca="false">FALSE()</f>
        <v>0</v>
      </c>
      <c r="M161" s="32" t="b">
        <f aca="false">FALSE()</f>
        <v>0</v>
      </c>
      <c r="N161" s="6" t="str">
        <f aca="false">IF(OR(AND(B161=2024,C161&gt;=43),AND(B161=2025,C161&lt;=13)),"Temporada 2024-25",IF(AND(B161=2025,C161&gt;=36,C161&lt;=42),"Sep-oct 2025","Resto del año"))</f>
        <v>Resto del año</v>
      </c>
    </row>
    <row r="162" customFormat="false" ht="15" hidden="false" customHeight="false" outlineLevel="0" collapsed="false">
      <c r="A162" s="7" t="s">
        <v>46</v>
      </c>
      <c r="B162" s="7" t="n">
        <v>2025</v>
      </c>
      <c r="C162" s="7" t="n">
        <v>15</v>
      </c>
      <c r="D162" s="7" t="n">
        <v>4</v>
      </c>
      <c r="E162" s="20" t="n">
        <v>19367</v>
      </c>
      <c r="F162" s="20" t="n">
        <v>19527</v>
      </c>
      <c r="G162" s="20" t="n">
        <v>150448</v>
      </c>
      <c r="H162" s="20" t="n">
        <v>148032</v>
      </c>
      <c r="I162" s="31" t="n">
        <v>0.6229</v>
      </c>
      <c r="J162" s="32" t="b">
        <f aca="false">FALSE()</f>
        <v>0</v>
      </c>
      <c r="K162" s="32" t="b">
        <f aca="false">FALSE()</f>
        <v>0</v>
      </c>
      <c r="L162" s="32" t="b">
        <f aca="false">FALSE()</f>
        <v>0</v>
      </c>
      <c r="M162" s="32" t="b">
        <f aca="false">FALSE()</f>
        <v>0</v>
      </c>
      <c r="N162" s="6" t="str">
        <f aca="false">IF(OR(AND(B162=2024,C162&gt;=43),AND(B162=2025,C162&lt;=13)),"Temporada 2024-25",IF(AND(B162=2025,C162&gt;=36,C162&lt;=42),"Sep-oct 2025","Resto del año"))</f>
        <v>Resto del año</v>
      </c>
    </row>
    <row r="163" customFormat="false" ht="15" hidden="false" customHeight="false" outlineLevel="0" collapsed="false">
      <c r="A163" s="7" t="s">
        <v>46</v>
      </c>
      <c r="B163" s="7" t="n">
        <v>2025</v>
      </c>
      <c r="C163" s="7" t="n">
        <v>16</v>
      </c>
      <c r="D163" s="7" t="n">
        <v>4</v>
      </c>
      <c r="E163" s="20" t="n">
        <v>18038</v>
      </c>
      <c r="F163" s="20" t="n">
        <v>19879</v>
      </c>
      <c r="G163" s="20" t="n">
        <v>152062</v>
      </c>
      <c r="H163" s="20" t="n">
        <v>150245</v>
      </c>
      <c r="I163" s="31" t="n">
        <v>0.6275</v>
      </c>
      <c r="J163" s="32" t="b">
        <f aca="false">FALSE()</f>
        <v>0</v>
      </c>
      <c r="K163" s="32" t="b">
        <f aca="false">FALSE()</f>
        <v>0</v>
      </c>
      <c r="L163" s="32" t="b">
        <f aca="false">FALSE()</f>
        <v>0</v>
      </c>
      <c r="M163" s="32" t="b">
        <f aca="false">FALSE()</f>
        <v>0</v>
      </c>
      <c r="N163" s="6" t="str">
        <f aca="false">IF(OR(AND(B163=2024,C163&gt;=43),AND(B163=2025,C163&lt;=13)),"Temporada 2024-25",IF(AND(B163=2025,C163&gt;=36,C163&lt;=42),"Sep-oct 2025","Resto del año"))</f>
        <v>Resto del año</v>
      </c>
    </row>
    <row r="164" customFormat="false" ht="15" hidden="false" customHeight="false" outlineLevel="0" collapsed="false">
      <c r="A164" s="7" t="s">
        <v>46</v>
      </c>
      <c r="B164" s="7" t="n">
        <v>2025</v>
      </c>
      <c r="C164" s="7" t="n">
        <v>17</v>
      </c>
      <c r="D164" s="7" t="n">
        <v>4</v>
      </c>
      <c r="E164" s="20" t="n">
        <v>15753</v>
      </c>
      <c r="F164" s="20" t="n">
        <v>16727</v>
      </c>
      <c r="G164" s="20" t="n">
        <v>145006</v>
      </c>
      <c r="H164" s="20" t="n">
        <v>144371</v>
      </c>
      <c r="I164" s="31" t="n">
        <v>0.6194</v>
      </c>
      <c r="J164" s="32" t="b">
        <f aca="false">FALSE()</f>
        <v>0</v>
      </c>
      <c r="K164" s="32" t="b">
        <f aca="false">FALSE()</f>
        <v>0</v>
      </c>
      <c r="L164" s="32" t="b">
        <f aca="false">FALSE()</f>
        <v>0</v>
      </c>
      <c r="M164" s="32" t="b">
        <f aca="false">FALSE()</f>
        <v>0</v>
      </c>
      <c r="N164" s="6" t="str">
        <f aca="false">IF(OR(AND(B164=2024,C164&gt;=43),AND(B164=2025,C164&lt;=13)),"Temporada 2024-25",IF(AND(B164=2025,C164&gt;=36,C164&lt;=42),"Sep-oct 2025","Resto del año"))</f>
        <v>Resto del año</v>
      </c>
    </row>
    <row r="165" customFormat="false" ht="15" hidden="false" customHeight="false" outlineLevel="0" collapsed="false">
      <c r="A165" s="7" t="s">
        <v>46</v>
      </c>
      <c r="B165" s="7" t="n">
        <v>2025</v>
      </c>
      <c r="C165" s="7" t="n">
        <v>18</v>
      </c>
      <c r="D165" s="7" t="n">
        <v>4</v>
      </c>
      <c r="E165" s="20" t="n">
        <v>17598</v>
      </c>
      <c r="F165" s="20" t="n">
        <v>17033</v>
      </c>
      <c r="G165" s="20" t="n">
        <v>136968</v>
      </c>
      <c r="H165" s="20" t="n">
        <v>134804</v>
      </c>
      <c r="I165" s="31" t="n">
        <v>0.6236</v>
      </c>
      <c r="J165" s="32" t="b">
        <f aca="false">FALSE()</f>
        <v>0</v>
      </c>
      <c r="K165" s="32" t="b">
        <f aca="false">FALSE()</f>
        <v>0</v>
      </c>
      <c r="L165" s="32" t="b">
        <f aca="false">FALSE()</f>
        <v>0</v>
      </c>
      <c r="M165" s="32" t="b">
        <f aca="false">FALSE()</f>
        <v>0</v>
      </c>
      <c r="N165" s="6" t="str">
        <f aca="false">IF(OR(AND(B165=2024,C165&gt;=43),AND(B165=2025,C165&lt;=13)),"Temporada 2024-25",IF(AND(B165=2025,C165&gt;=36,C165&lt;=42),"Sep-oct 2025","Resto del año"))</f>
        <v>Resto del año</v>
      </c>
    </row>
    <row r="166" customFormat="false" ht="15" hidden="false" customHeight="false" outlineLevel="0" collapsed="false">
      <c r="A166" s="7" t="s">
        <v>46</v>
      </c>
      <c r="B166" s="7" t="n">
        <v>2025</v>
      </c>
      <c r="C166" s="7" t="n">
        <v>19</v>
      </c>
      <c r="D166" s="7" t="n">
        <v>5</v>
      </c>
      <c r="E166" s="20" t="n">
        <v>19937</v>
      </c>
      <c r="F166" s="20" t="n">
        <v>18646</v>
      </c>
      <c r="G166" s="20" t="n">
        <v>144314</v>
      </c>
      <c r="H166" s="20" t="n">
        <v>142008</v>
      </c>
      <c r="I166" s="31" t="n">
        <v>0.6283</v>
      </c>
      <c r="J166" s="32" t="b">
        <f aca="false">FALSE()</f>
        <v>0</v>
      </c>
      <c r="K166" s="32" t="b">
        <f aca="false">FALSE()</f>
        <v>0</v>
      </c>
      <c r="L166" s="32" t="b">
        <f aca="false">FALSE()</f>
        <v>0</v>
      </c>
      <c r="M166" s="32" t="b">
        <f aca="false">FALSE()</f>
        <v>0</v>
      </c>
      <c r="N166" s="6" t="str">
        <f aca="false">IF(OR(AND(B166=2024,C166&gt;=43),AND(B166=2025,C166&lt;=13)),"Temporada 2024-25",IF(AND(B166=2025,C166&gt;=36,C166&lt;=42),"Sep-oct 2025","Resto del año"))</f>
        <v>Resto del año</v>
      </c>
    </row>
    <row r="167" customFormat="false" ht="15" hidden="false" customHeight="false" outlineLevel="0" collapsed="false">
      <c r="A167" s="7" t="s">
        <v>46</v>
      </c>
      <c r="B167" s="7" t="n">
        <v>2025</v>
      </c>
      <c r="C167" s="7" t="n">
        <v>20</v>
      </c>
      <c r="D167" s="7" t="n">
        <v>5</v>
      </c>
      <c r="E167" s="20" t="n">
        <v>17397</v>
      </c>
      <c r="F167" s="20" t="n">
        <v>18676</v>
      </c>
      <c r="G167" s="20" t="n">
        <v>140420</v>
      </c>
      <c r="H167" s="20" t="n">
        <v>145616</v>
      </c>
      <c r="I167" s="31" t="n">
        <v>0.6289</v>
      </c>
      <c r="J167" s="32" t="b">
        <f aca="false">FALSE()</f>
        <v>0</v>
      </c>
      <c r="K167" s="32" t="b">
        <f aca="false">FALSE()</f>
        <v>0</v>
      </c>
      <c r="L167" s="32" t="b">
        <f aca="false">FALSE()</f>
        <v>0</v>
      </c>
      <c r="M167" s="32" t="b">
        <f aca="false">FALSE()</f>
        <v>0</v>
      </c>
      <c r="N167" s="6" t="str">
        <f aca="false">IF(OR(AND(B167=2024,C167&gt;=43),AND(B167=2025,C167&lt;=13)),"Temporada 2024-25",IF(AND(B167=2025,C167&gt;=36,C167&lt;=42),"Sep-oct 2025","Resto del año"))</f>
        <v>Resto del año</v>
      </c>
    </row>
    <row r="168" customFormat="false" ht="15" hidden="false" customHeight="false" outlineLevel="0" collapsed="false">
      <c r="A168" s="7" t="s">
        <v>46</v>
      </c>
      <c r="B168" s="7" t="n">
        <v>2025</v>
      </c>
      <c r="C168" s="7" t="n">
        <v>21</v>
      </c>
      <c r="D168" s="7" t="n">
        <v>5</v>
      </c>
      <c r="E168" s="20" t="n">
        <v>20099</v>
      </c>
      <c r="F168" s="20" t="n">
        <v>18461</v>
      </c>
      <c r="G168" s="20" t="n">
        <v>136164</v>
      </c>
      <c r="H168" s="20" t="n">
        <v>141799</v>
      </c>
      <c r="I168" s="31" t="n">
        <v>0.6219</v>
      </c>
      <c r="J168" s="32" t="b">
        <f aca="false">FALSE()</f>
        <v>0</v>
      </c>
      <c r="K168" s="32" t="b">
        <f aca="false">FALSE()</f>
        <v>0</v>
      </c>
      <c r="L168" s="32" t="b">
        <f aca="false">FALSE()</f>
        <v>0</v>
      </c>
      <c r="M168" s="32" t="b">
        <f aca="false">FALSE()</f>
        <v>0</v>
      </c>
      <c r="N168" s="6" t="str">
        <f aca="false">IF(OR(AND(B168=2024,C168&gt;=43),AND(B168=2025,C168&lt;=13)),"Temporada 2024-25",IF(AND(B168=2025,C168&gt;=36,C168&lt;=42),"Sep-oct 2025","Resto del año"))</f>
        <v>Resto del año</v>
      </c>
    </row>
    <row r="169" customFormat="false" ht="15" hidden="false" customHeight="false" outlineLevel="0" collapsed="false">
      <c r="A169" s="7" t="s">
        <v>46</v>
      </c>
      <c r="B169" s="7" t="n">
        <v>2025</v>
      </c>
      <c r="C169" s="7" t="n">
        <v>22</v>
      </c>
      <c r="D169" s="7" t="n">
        <v>5</v>
      </c>
      <c r="E169" s="20" t="n">
        <v>18331</v>
      </c>
      <c r="F169" s="20" t="n">
        <v>16963</v>
      </c>
      <c r="G169" s="20" t="n">
        <v>133758</v>
      </c>
      <c r="H169" s="20" t="n">
        <v>132425</v>
      </c>
      <c r="I169" s="31" t="n">
        <v>0.6261</v>
      </c>
      <c r="J169" s="32" t="b">
        <f aca="false">FALSE()</f>
        <v>0</v>
      </c>
      <c r="K169" s="32" t="b">
        <f aca="false">FALSE()</f>
        <v>0</v>
      </c>
      <c r="L169" s="32" t="b">
        <f aca="false">FALSE()</f>
        <v>0</v>
      </c>
      <c r="M169" s="32" t="b">
        <f aca="false">FALSE()</f>
        <v>0</v>
      </c>
      <c r="N169" s="6" t="str">
        <f aca="false">IF(OR(AND(B169=2024,C169&gt;=43),AND(B169=2025,C169&lt;=13)),"Temporada 2024-25",IF(AND(B169=2025,C169&gt;=36,C169&lt;=42),"Sep-oct 2025","Resto del año"))</f>
        <v>Resto del año</v>
      </c>
    </row>
    <row r="170" customFormat="false" ht="15" hidden="false" customHeight="false" outlineLevel="0" collapsed="false">
      <c r="A170" s="7" t="s">
        <v>46</v>
      </c>
      <c r="B170" s="7" t="n">
        <v>2025</v>
      </c>
      <c r="C170" s="7" t="n">
        <v>23</v>
      </c>
      <c r="D170" s="7" t="n">
        <v>6</v>
      </c>
      <c r="E170" s="20" t="n">
        <v>17556</v>
      </c>
      <c r="F170" s="20" t="n">
        <v>17991</v>
      </c>
      <c r="G170" s="20" t="n">
        <v>134990</v>
      </c>
      <c r="H170" s="20" t="n">
        <v>140350</v>
      </c>
      <c r="I170" s="31" t="n">
        <v>0.6274</v>
      </c>
      <c r="J170" s="32" t="b">
        <f aca="false">FALSE()</f>
        <v>0</v>
      </c>
      <c r="K170" s="32" t="b">
        <f aca="false">FALSE()</f>
        <v>0</v>
      </c>
      <c r="L170" s="32" t="b">
        <f aca="false">FALSE()</f>
        <v>0</v>
      </c>
      <c r="M170" s="32" t="b">
        <f aca="false">FALSE()</f>
        <v>0</v>
      </c>
      <c r="N170" s="6" t="str">
        <f aca="false">IF(OR(AND(B170=2024,C170&gt;=43),AND(B170=2025,C170&lt;=13)),"Temporada 2024-25",IF(AND(B170=2025,C170&gt;=36,C170&lt;=42),"Sep-oct 2025","Resto del año"))</f>
        <v>Resto del año</v>
      </c>
    </row>
    <row r="171" customFormat="false" ht="15" hidden="false" customHeight="false" outlineLevel="0" collapsed="false">
      <c r="A171" s="7" t="s">
        <v>46</v>
      </c>
      <c r="B171" s="7" t="n">
        <v>2025</v>
      </c>
      <c r="C171" s="7" t="n">
        <v>24</v>
      </c>
      <c r="D171" s="7" t="n">
        <v>6</v>
      </c>
      <c r="E171" s="20" t="n">
        <v>17258</v>
      </c>
      <c r="F171" s="20" t="n">
        <v>16562</v>
      </c>
      <c r="G171" s="20" t="n">
        <v>143652</v>
      </c>
      <c r="H171" s="20" t="n">
        <v>138639</v>
      </c>
      <c r="I171" s="31" t="n">
        <v>0.6169</v>
      </c>
      <c r="J171" s="32" t="b">
        <f aca="false">FALSE()</f>
        <v>0</v>
      </c>
      <c r="K171" s="32" t="b">
        <f aca="false">FALSE()</f>
        <v>0</v>
      </c>
      <c r="L171" s="32" t="b">
        <f aca="false">FALSE()</f>
        <v>0</v>
      </c>
      <c r="M171" s="32" t="b">
        <f aca="false">FALSE()</f>
        <v>0</v>
      </c>
      <c r="N171" s="6" t="str">
        <f aca="false">IF(OR(AND(B171=2024,C171&gt;=43),AND(B171=2025,C171&lt;=13)),"Temporada 2024-25",IF(AND(B171=2025,C171&gt;=36,C171&lt;=42),"Sep-oct 2025","Resto del año"))</f>
        <v>Resto del año</v>
      </c>
    </row>
    <row r="172" customFormat="false" ht="15" hidden="false" customHeight="false" outlineLevel="0" collapsed="false">
      <c r="A172" s="7" t="s">
        <v>46</v>
      </c>
      <c r="B172" s="7" t="n">
        <v>2025</v>
      </c>
      <c r="C172" s="7" t="n">
        <v>25</v>
      </c>
      <c r="D172" s="7" t="n">
        <v>6</v>
      </c>
      <c r="E172" s="20" t="n">
        <v>17214</v>
      </c>
      <c r="F172" s="20" t="n">
        <v>18372</v>
      </c>
      <c r="G172" s="20" t="n">
        <v>139838</v>
      </c>
      <c r="H172" s="20" t="n">
        <v>135598</v>
      </c>
      <c r="I172" s="31" t="n">
        <v>0.6272</v>
      </c>
      <c r="J172" s="32" t="b">
        <f aca="false">FALSE()</f>
        <v>0</v>
      </c>
      <c r="K172" s="32" t="b">
        <f aca="false">FALSE()</f>
        <v>0</v>
      </c>
      <c r="L172" s="32" t="b">
        <f aca="false">FALSE()</f>
        <v>0</v>
      </c>
      <c r="M172" s="32" t="b">
        <f aca="false">FALSE()</f>
        <v>0</v>
      </c>
      <c r="N172" s="6" t="str">
        <f aca="false">IF(OR(AND(B172=2024,C172&gt;=43),AND(B172=2025,C172&lt;=13)),"Temporada 2024-25",IF(AND(B172=2025,C172&gt;=36,C172&lt;=42),"Sep-oct 2025","Resto del año"))</f>
        <v>Resto del año</v>
      </c>
    </row>
    <row r="173" customFormat="false" ht="15" hidden="false" customHeight="false" outlineLevel="0" collapsed="false">
      <c r="A173" s="7" t="s">
        <v>46</v>
      </c>
      <c r="B173" s="7" t="n">
        <v>2025</v>
      </c>
      <c r="C173" s="7" t="n">
        <v>26</v>
      </c>
      <c r="D173" s="7" t="n">
        <v>6</v>
      </c>
      <c r="E173" s="20" t="n">
        <v>16539</v>
      </c>
      <c r="F173" s="20" t="n">
        <v>18280</v>
      </c>
      <c r="G173" s="20" t="n">
        <v>133147</v>
      </c>
      <c r="H173" s="20" t="n">
        <v>134983</v>
      </c>
      <c r="I173" s="31" t="n">
        <v>0.6399</v>
      </c>
      <c r="J173" s="32" t="b">
        <f aca="false">FALSE()</f>
        <v>0</v>
      </c>
      <c r="K173" s="32" t="b">
        <f aca="false">FALSE()</f>
        <v>0</v>
      </c>
      <c r="L173" s="32" t="b">
        <f aca="false">FALSE()</f>
        <v>0</v>
      </c>
      <c r="M173" s="32" t="b">
        <f aca="false">FALSE()</f>
        <v>0</v>
      </c>
      <c r="N173" s="6" t="str">
        <f aca="false">IF(OR(AND(B173=2024,C173&gt;=43),AND(B173=2025,C173&lt;=13)),"Temporada 2024-25",IF(AND(B173=2025,C173&gt;=36,C173&lt;=42),"Sep-oct 2025","Resto del año"))</f>
        <v>Resto del año</v>
      </c>
    </row>
    <row r="174" customFormat="false" ht="15" hidden="false" customHeight="false" outlineLevel="0" collapsed="false">
      <c r="A174" s="7" t="s">
        <v>46</v>
      </c>
      <c r="B174" s="7" t="n">
        <v>2025</v>
      </c>
      <c r="C174" s="7" t="n">
        <v>27</v>
      </c>
      <c r="D174" s="7" t="n">
        <v>6</v>
      </c>
      <c r="E174" s="20" t="n">
        <v>17329</v>
      </c>
      <c r="F174" s="20" t="n">
        <v>18258</v>
      </c>
      <c r="G174" s="20" t="n">
        <v>146718</v>
      </c>
      <c r="H174" s="20" t="n">
        <v>137635</v>
      </c>
      <c r="I174" s="31" t="n">
        <v>0.6432</v>
      </c>
      <c r="J174" s="32" t="b">
        <f aca="false">FALSE()</f>
        <v>0</v>
      </c>
      <c r="K174" s="32" t="b">
        <f aca="false">FALSE()</f>
        <v>0</v>
      </c>
      <c r="L174" s="32" t="b">
        <f aca="false">FALSE()</f>
        <v>0</v>
      </c>
      <c r="M174" s="32" t="b">
        <f aca="false">FALSE()</f>
        <v>0</v>
      </c>
      <c r="N174" s="6" t="str">
        <f aca="false">IF(OR(AND(B174=2024,C174&gt;=43),AND(B174=2025,C174&lt;=13)),"Temporada 2024-25",IF(AND(B174=2025,C174&gt;=36,C174&lt;=42),"Sep-oct 2025","Resto del año"))</f>
        <v>Resto del año</v>
      </c>
    </row>
    <row r="175" customFormat="false" ht="15" hidden="false" customHeight="false" outlineLevel="0" collapsed="false">
      <c r="A175" s="7" t="s">
        <v>46</v>
      </c>
      <c r="B175" s="7" t="n">
        <v>2025</v>
      </c>
      <c r="C175" s="7" t="n">
        <v>28</v>
      </c>
      <c r="D175" s="7" t="n">
        <v>7</v>
      </c>
      <c r="E175" s="20" t="n">
        <v>18301</v>
      </c>
      <c r="F175" s="20" t="n">
        <v>17986</v>
      </c>
      <c r="G175" s="20" t="n">
        <v>146646</v>
      </c>
      <c r="H175" s="20" t="n">
        <v>140442</v>
      </c>
      <c r="I175" s="31" t="n">
        <v>0.6424</v>
      </c>
      <c r="J175" s="32" t="b">
        <f aca="false">FALSE()</f>
        <v>0</v>
      </c>
      <c r="K175" s="32" t="b">
        <f aca="false">FALSE()</f>
        <v>0</v>
      </c>
      <c r="L175" s="32" t="b">
        <f aca="false">FALSE()</f>
        <v>0</v>
      </c>
      <c r="M175" s="32" t="b">
        <f aca="false">FALSE()</f>
        <v>0</v>
      </c>
      <c r="N175" s="6" t="str">
        <f aca="false">IF(OR(AND(B175=2024,C175&gt;=43),AND(B175=2025,C175&lt;=13)),"Temporada 2024-25",IF(AND(B175=2025,C175&gt;=36,C175&lt;=42),"Sep-oct 2025","Resto del año"))</f>
        <v>Resto del año</v>
      </c>
    </row>
    <row r="176" customFormat="false" ht="15" hidden="false" customHeight="false" outlineLevel="0" collapsed="false">
      <c r="A176" s="7" t="s">
        <v>46</v>
      </c>
      <c r="B176" s="7" t="n">
        <v>2025</v>
      </c>
      <c r="C176" s="7" t="n">
        <v>29</v>
      </c>
      <c r="D176" s="7" t="n">
        <v>7</v>
      </c>
      <c r="E176" s="20" t="n">
        <v>20060</v>
      </c>
      <c r="F176" s="20" t="n">
        <v>18647</v>
      </c>
      <c r="G176" s="20" t="n">
        <v>144469</v>
      </c>
      <c r="H176" s="20" t="n">
        <v>136963</v>
      </c>
      <c r="I176" s="31" t="n">
        <v>0.6609</v>
      </c>
      <c r="J176" s="32" t="b">
        <f aca="false">FALSE()</f>
        <v>0</v>
      </c>
      <c r="K176" s="32" t="b">
        <f aca="false">FALSE()</f>
        <v>0</v>
      </c>
      <c r="L176" s="32" t="b">
        <f aca="false">FALSE()</f>
        <v>0</v>
      </c>
      <c r="M176" s="32" t="b">
        <f aca="false">FALSE()</f>
        <v>0</v>
      </c>
      <c r="N176" s="6" t="str">
        <f aca="false">IF(OR(AND(B176=2024,C176&gt;=43),AND(B176=2025,C176&lt;=13)),"Temporada 2024-25",IF(AND(B176=2025,C176&gt;=36,C176&lt;=42),"Sep-oct 2025","Resto del año"))</f>
        <v>Resto del año</v>
      </c>
    </row>
    <row r="177" customFormat="false" ht="15" hidden="false" customHeight="false" outlineLevel="0" collapsed="false">
      <c r="A177" s="7" t="s">
        <v>46</v>
      </c>
      <c r="B177" s="7" t="n">
        <v>2025</v>
      </c>
      <c r="C177" s="7" t="n">
        <v>30</v>
      </c>
      <c r="D177" s="7" t="n">
        <v>7</v>
      </c>
      <c r="E177" s="20" t="n">
        <v>16631</v>
      </c>
      <c r="F177" s="20" t="n">
        <v>18077</v>
      </c>
      <c r="G177" s="20" t="n">
        <v>136414</v>
      </c>
      <c r="H177" s="20" t="n">
        <v>137386</v>
      </c>
      <c r="I177" s="31" t="n">
        <v>0.6753</v>
      </c>
      <c r="J177" s="32" t="b">
        <f aca="false">FALSE()</f>
        <v>0</v>
      </c>
      <c r="K177" s="32" t="b">
        <f aca="false">FALSE()</f>
        <v>0</v>
      </c>
      <c r="L177" s="32" t="b">
        <f aca="false">FALSE()</f>
        <v>0</v>
      </c>
      <c r="M177" s="32" t="b">
        <f aca="false">FALSE()</f>
        <v>0</v>
      </c>
      <c r="N177" s="6" t="str">
        <f aca="false">IF(OR(AND(B177=2024,C177&gt;=43),AND(B177=2025,C177&lt;=13)),"Temporada 2024-25",IF(AND(B177=2025,C177&gt;=36,C177&lt;=42),"Sep-oct 2025","Resto del año"))</f>
        <v>Resto del año</v>
      </c>
    </row>
    <row r="178" customFormat="false" ht="15" hidden="false" customHeight="false" outlineLevel="0" collapsed="false">
      <c r="A178" s="7" t="s">
        <v>46</v>
      </c>
      <c r="B178" s="7" t="n">
        <v>2025</v>
      </c>
      <c r="C178" s="7" t="n">
        <v>31</v>
      </c>
      <c r="D178" s="7" t="n">
        <v>7</v>
      </c>
      <c r="E178" s="20" t="n">
        <v>15132</v>
      </c>
      <c r="F178" s="20" t="n">
        <v>17160</v>
      </c>
      <c r="G178" s="20" t="n">
        <v>131517</v>
      </c>
      <c r="H178" s="20" t="n">
        <v>131486</v>
      </c>
      <c r="I178" s="31" t="n">
        <v>0.6754</v>
      </c>
      <c r="J178" s="32" t="b">
        <f aca="false">FALSE()</f>
        <v>0</v>
      </c>
      <c r="K178" s="32" t="b">
        <f aca="false">FALSE()</f>
        <v>0</v>
      </c>
      <c r="L178" s="32" t="b">
        <f aca="false">FALSE()</f>
        <v>0</v>
      </c>
      <c r="M178" s="32" t="b">
        <f aca="false">FALSE()</f>
        <v>0</v>
      </c>
      <c r="N178" s="6" t="str">
        <f aca="false">IF(OR(AND(B178=2024,C178&gt;=43),AND(B178=2025,C178&lt;=13)),"Temporada 2024-25",IF(AND(B178=2025,C178&gt;=36,C178&lt;=42),"Sep-oct 2025","Resto del año"))</f>
        <v>Resto del año</v>
      </c>
    </row>
    <row r="179" customFormat="false" ht="15" hidden="false" customHeight="false" outlineLevel="0" collapsed="false">
      <c r="A179" s="7" t="s">
        <v>46</v>
      </c>
      <c r="B179" s="7" t="n">
        <v>2025</v>
      </c>
      <c r="C179" s="7" t="n">
        <v>32</v>
      </c>
      <c r="D179" s="7" t="n">
        <v>8</v>
      </c>
      <c r="E179" s="20" t="n">
        <v>18833</v>
      </c>
      <c r="F179" s="20" t="n">
        <v>18075</v>
      </c>
      <c r="G179" s="20" t="n">
        <v>136600</v>
      </c>
      <c r="H179" s="20" t="n">
        <v>134332</v>
      </c>
      <c r="I179" s="31" t="n">
        <v>0.6827</v>
      </c>
      <c r="J179" s="32" t="b">
        <f aca="false">FALSE()</f>
        <v>0</v>
      </c>
      <c r="K179" s="32" t="b">
        <f aca="false">FALSE()</f>
        <v>0</v>
      </c>
      <c r="L179" s="32" t="b">
        <f aca="false">FALSE()</f>
        <v>0</v>
      </c>
      <c r="M179" s="32" t="b">
        <f aca="false">FALSE()</f>
        <v>0</v>
      </c>
      <c r="N179" s="6" t="str">
        <f aca="false">IF(OR(AND(B179=2024,C179&gt;=43),AND(B179=2025,C179&lt;=13)),"Temporada 2024-25",IF(AND(B179=2025,C179&gt;=36,C179&lt;=42),"Sep-oct 2025","Resto del año"))</f>
        <v>Resto del año</v>
      </c>
    </row>
    <row r="180" customFormat="false" ht="15" hidden="false" customHeight="false" outlineLevel="0" collapsed="false">
      <c r="A180" s="7" t="s">
        <v>46</v>
      </c>
      <c r="B180" s="7" t="n">
        <v>2025</v>
      </c>
      <c r="C180" s="7" t="n">
        <v>33</v>
      </c>
      <c r="D180" s="7" t="n">
        <v>8</v>
      </c>
      <c r="E180" s="20" t="n">
        <v>17472</v>
      </c>
      <c r="F180" s="20" t="n">
        <v>18036</v>
      </c>
      <c r="G180" s="20" t="n">
        <v>132054</v>
      </c>
      <c r="H180" s="20" t="n">
        <v>133133</v>
      </c>
      <c r="I180" s="31" t="n">
        <v>0.6953</v>
      </c>
      <c r="J180" s="32" t="b">
        <f aca="false">FALSE()</f>
        <v>0</v>
      </c>
      <c r="K180" s="32" t="b">
        <f aca="false">FALSE()</f>
        <v>0</v>
      </c>
      <c r="L180" s="32" t="b">
        <f aca="false">FALSE()</f>
        <v>0</v>
      </c>
      <c r="M180" s="32" t="b">
        <f aca="false">FALSE()</f>
        <v>0</v>
      </c>
      <c r="N180" s="6" t="str">
        <f aca="false">IF(OR(AND(B180=2024,C180&gt;=43),AND(B180=2025,C180&lt;=13)),"Temporada 2024-25",IF(AND(B180=2025,C180&gt;=36,C180&lt;=42),"Sep-oct 2025","Resto del año"))</f>
        <v>Resto del año</v>
      </c>
    </row>
    <row r="181" customFormat="false" ht="15" hidden="false" customHeight="false" outlineLevel="0" collapsed="false">
      <c r="A181" s="7" t="s">
        <v>46</v>
      </c>
      <c r="B181" s="7" t="n">
        <v>2025</v>
      </c>
      <c r="C181" s="7" t="n">
        <v>34</v>
      </c>
      <c r="D181" s="7" t="n">
        <v>8</v>
      </c>
      <c r="E181" s="20" t="n">
        <v>18498</v>
      </c>
      <c r="F181" s="20" t="n">
        <v>17054</v>
      </c>
      <c r="G181" s="20" t="n">
        <v>137564</v>
      </c>
      <c r="H181" s="20" t="n">
        <v>132937</v>
      </c>
      <c r="I181" s="31" t="n">
        <v>0.6938</v>
      </c>
      <c r="J181" s="32" t="b">
        <f aca="false">FALSE()</f>
        <v>0</v>
      </c>
      <c r="K181" s="32" t="b">
        <f aca="false">FALSE()</f>
        <v>0</v>
      </c>
      <c r="L181" s="32" t="b">
        <f aca="false">FALSE()</f>
        <v>0</v>
      </c>
      <c r="M181" s="32" t="b">
        <f aca="false">FALSE()</f>
        <v>0</v>
      </c>
      <c r="N181" s="6" t="str">
        <f aca="false">IF(OR(AND(B181=2024,C181&gt;=43),AND(B181=2025,C181&lt;=13)),"Temporada 2024-25",IF(AND(B181=2025,C181&gt;=36,C181&lt;=42),"Sep-oct 2025","Resto del año"))</f>
        <v>Resto del año</v>
      </c>
    </row>
    <row r="182" customFormat="false" ht="15" hidden="false" customHeight="false" outlineLevel="0" collapsed="false">
      <c r="A182" s="7" t="s">
        <v>46</v>
      </c>
      <c r="B182" s="7" t="n">
        <v>2025</v>
      </c>
      <c r="C182" s="7" t="n">
        <v>35</v>
      </c>
      <c r="D182" s="7" t="n">
        <v>8</v>
      </c>
      <c r="E182" s="20" t="n">
        <v>18675</v>
      </c>
      <c r="F182" s="20" t="n">
        <v>18933</v>
      </c>
      <c r="G182" s="20" t="n">
        <v>148010</v>
      </c>
      <c r="H182" s="20" t="n">
        <v>142203</v>
      </c>
      <c r="I182" s="31" t="n">
        <v>0.7053</v>
      </c>
      <c r="J182" s="32" t="b">
        <f aca="false">FALSE()</f>
        <v>0</v>
      </c>
      <c r="K182" s="32" t="b">
        <f aca="false">FALSE()</f>
        <v>0</v>
      </c>
      <c r="L182" s="32" t="b">
        <f aca="false">FALSE()</f>
        <v>0</v>
      </c>
      <c r="M182" s="32" t="b">
        <f aca="false">FALSE()</f>
        <v>0</v>
      </c>
      <c r="N182" s="6" t="str">
        <f aca="false">IF(OR(AND(B182=2024,C182&gt;=43),AND(B182=2025,C182&lt;=13)),"Temporada 2024-25",IF(AND(B182=2025,C182&gt;=36,C182&lt;=42),"Sep-oct 2025","Resto del año"))</f>
        <v>Resto del año</v>
      </c>
    </row>
    <row r="183" customFormat="false" ht="15" hidden="false" customHeight="false" outlineLevel="0" collapsed="false">
      <c r="A183" s="7" t="s">
        <v>46</v>
      </c>
      <c r="B183" s="7" t="n">
        <v>2025</v>
      </c>
      <c r="C183" s="7" t="n">
        <v>36</v>
      </c>
      <c r="D183" s="7" t="n">
        <v>9</v>
      </c>
      <c r="E183" s="20" t="n">
        <v>19644</v>
      </c>
      <c r="F183" s="20" t="n">
        <v>17286</v>
      </c>
      <c r="G183" s="20" t="n">
        <v>136862</v>
      </c>
      <c r="H183" s="20" t="n">
        <v>135753</v>
      </c>
      <c r="I183" s="31" t="n">
        <v>0.7103</v>
      </c>
      <c r="J183" s="32" t="b">
        <f aca="false">FALSE()</f>
        <v>0</v>
      </c>
      <c r="K183" s="32" t="b">
        <f aca="false">FALSE()</f>
        <v>0</v>
      </c>
      <c r="L183" s="32" t="b">
        <f aca="false">FALSE()</f>
        <v>0</v>
      </c>
      <c r="M183" s="32" t="b">
        <f aca="false">FALSE()</f>
        <v>0</v>
      </c>
      <c r="N183" s="6" t="str">
        <f aca="false">IF(OR(AND(B183=2024,C183&gt;=43),AND(B183=2025,C183&lt;=13)),"Temporada 2024-25",IF(AND(B183=2025,C183&gt;=36,C183&lt;=42),"Sep-oct 2025","Resto del año"))</f>
        <v>Sep-oct 2025</v>
      </c>
    </row>
    <row r="184" customFormat="false" ht="15" hidden="false" customHeight="false" outlineLevel="0" collapsed="false">
      <c r="A184" s="7" t="s">
        <v>46</v>
      </c>
      <c r="B184" s="7" t="n">
        <v>2025</v>
      </c>
      <c r="C184" s="7" t="n">
        <v>37</v>
      </c>
      <c r="D184" s="7" t="n">
        <v>9</v>
      </c>
      <c r="E184" s="20" t="n">
        <v>16094</v>
      </c>
      <c r="F184" s="20" t="n">
        <v>16555</v>
      </c>
      <c r="G184" s="20" t="n">
        <v>126044</v>
      </c>
      <c r="H184" s="20" t="n">
        <v>124029</v>
      </c>
      <c r="I184" s="31" t="n">
        <v>0.7215</v>
      </c>
      <c r="J184" s="32" t="b">
        <f aca="false">FALSE()</f>
        <v>0</v>
      </c>
      <c r="K184" s="32" t="b">
        <f aca="false">FALSE()</f>
        <v>0</v>
      </c>
      <c r="L184" s="32" t="b">
        <f aca="false">FALSE()</f>
        <v>0</v>
      </c>
      <c r="M184" s="32" t="b">
        <f aca="false">FALSE()</f>
        <v>0</v>
      </c>
      <c r="N184" s="6" t="str">
        <f aca="false">IF(OR(AND(B184=2024,C184&gt;=43),AND(B184=2025,C184&lt;=13)),"Temporada 2024-25",IF(AND(B184=2025,C184&gt;=36,C184&lt;=42),"Sep-oct 2025","Resto del año"))</f>
        <v>Sep-oct 2025</v>
      </c>
    </row>
    <row r="185" customFormat="false" ht="15" hidden="false" customHeight="false" outlineLevel="0" collapsed="false">
      <c r="A185" s="7" t="s">
        <v>46</v>
      </c>
      <c r="B185" s="7" t="n">
        <v>2025</v>
      </c>
      <c r="C185" s="7" t="n">
        <v>38</v>
      </c>
      <c r="D185" s="7" t="n">
        <v>9</v>
      </c>
      <c r="E185" s="20" t="n">
        <v>19883</v>
      </c>
      <c r="F185" s="20" t="n">
        <v>18454</v>
      </c>
      <c r="G185" s="20" t="n">
        <v>142126</v>
      </c>
      <c r="H185" s="20" t="n">
        <v>138604</v>
      </c>
      <c r="I185" s="31" t="n">
        <v>0.7231</v>
      </c>
      <c r="J185" s="32" t="b">
        <f aca="false">FALSE()</f>
        <v>0</v>
      </c>
      <c r="K185" s="32" t="b">
        <f aca="false">FALSE()</f>
        <v>0</v>
      </c>
      <c r="L185" s="32" t="b">
        <f aca="false">FALSE()</f>
        <v>0</v>
      </c>
      <c r="M185" s="32" t="b">
        <f aca="false">FALSE()</f>
        <v>0</v>
      </c>
      <c r="N185" s="6" t="str">
        <f aca="false">IF(OR(AND(B185=2024,C185&gt;=43),AND(B185=2025,C185&lt;=13)),"Temporada 2024-25",IF(AND(B185=2025,C185&gt;=36,C185&lt;=42),"Sep-oct 2025","Resto del año"))</f>
        <v>Sep-oct 2025</v>
      </c>
    </row>
    <row r="186" customFormat="false" ht="15" hidden="false" customHeight="false" outlineLevel="0" collapsed="false">
      <c r="A186" s="7" t="s">
        <v>46</v>
      </c>
      <c r="B186" s="7" t="n">
        <v>2025</v>
      </c>
      <c r="C186" s="7" t="n">
        <v>39</v>
      </c>
      <c r="D186" s="7" t="n">
        <v>9</v>
      </c>
      <c r="E186" s="20" t="n">
        <v>16196</v>
      </c>
      <c r="F186" s="20" t="n">
        <v>17752</v>
      </c>
      <c r="G186" s="20" t="n">
        <v>140857</v>
      </c>
      <c r="H186" s="20" t="n">
        <v>136412</v>
      </c>
      <c r="I186" s="31" t="n">
        <v>0.715</v>
      </c>
      <c r="J186" s="32" t="b">
        <f aca="false">FALSE()</f>
        <v>0</v>
      </c>
      <c r="K186" s="32" t="b">
        <f aca="false">FALSE()</f>
        <v>0</v>
      </c>
      <c r="L186" s="32" t="b">
        <f aca="false">FALSE()</f>
        <v>0</v>
      </c>
      <c r="M186" s="32" t="b">
        <f aca="false">FALSE()</f>
        <v>0</v>
      </c>
      <c r="N186" s="6" t="str">
        <f aca="false">IF(OR(AND(B186=2024,C186&gt;=43),AND(B186=2025,C186&lt;=13)),"Temporada 2024-25",IF(AND(B186=2025,C186&gt;=36,C186&lt;=42),"Sep-oct 2025","Resto del año"))</f>
        <v>Sep-oct 2025</v>
      </c>
    </row>
    <row r="187" customFormat="false" ht="15" hidden="false" customHeight="false" outlineLevel="0" collapsed="false">
      <c r="A187" s="7" t="s">
        <v>46</v>
      </c>
      <c r="B187" s="7" t="n">
        <v>2025</v>
      </c>
      <c r="C187" s="7" t="n">
        <v>40</v>
      </c>
      <c r="D187" s="7" t="n">
        <v>9</v>
      </c>
      <c r="E187" s="20" t="n">
        <v>15962</v>
      </c>
      <c r="F187" s="20" t="n">
        <v>19079</v>
      </c>
      <c r="G187" s="20" t="n">
        <v>136698</v>
      </c>
      <c r="H187" s="20" t="n">
        <v>135524</v>
      </c>
      <c r="I187" s="31" t="n">
        <v>0.7198</v>
      </c>
      <c r="J187" s="32" t="b">
        <f aca="false">FALSE()</f>
        <v>0</v>
      </c>
      <c r="K187" s="32" t="b">
        <f aca="false">FALSE()</f>
        <v>0</v>
      </c>
      <c r="L187" s="32" t="b">
        <f aca="false">FALSE()</f>
        <v>0</v>
      </c>
      <c r="M187" s="32" t="b">
        <f aca="false">FALSE()</f>
        <v>0</v>
      </c>
      <c r="N187" s="6" t="str">
        <f aca="false">IF(OR(AND(B187=2024,C187&gt;=43),AND(B187=2025,C187&lt;=13)),"Temporada 2024-25",IF(AND(B187=2025,C187&gt;=36,C187&lt;=42),"Sep-oct 2025","Resto del año"))</f>
        <v>Sep-oct 2025</v>
      </c>
    </row>
    <row r="188" customFormat="false" ht="15" hidden="false" customHeight="false" outlineLevel="0" collapsed="false">
      <c r="A188" s="7" t="s">
        <v>46</v>
      </c>
      <c r="B188" s="7" t="n">
        <v>2025</v>
      </c>
      <c r="C188" s="7" t="n">
        <v>41</v>
      </c>
      <c r="D188" s="7" t="n">
        <v>10</v>
      </c>
      <c r="E188" s="20" t="n">
        <v>15416</v>
      </c>
      <c r="F188" s="20" t="n">
        <v>18641</v>
      </c>
      <c r="G188" s="20" t="n">
        <v>137202</v>
      </c>
      <c r="H188" s="20" t="n">
        <v>136321</v>
      </c>
      <c r="I188" s="31" t="n">
        <v>0.7294</v>
      </c>
      <c r="J188" s="32" t="b">
        <f aca="false">FALSE()</f>
        <v>0</v>
      </c>
      <c r="K188" s="32" t="b">
        <f aca="false">FALSE()</f>
        <v>0</v>
      </c>
      <c r="L188" s="32" t="b">
        <f aca="false">FALSE()</f>
        <v>0</v>
      </c>
      <c r="M188" s="32" t="b">
        <f aca="false">FALSE()</f>
        <v>0</v>
      </c>
      <c r="N188" s="6" t="str">
        <f aca="false">IF(OR(AND(B188=2024,C188&gt;=43),AND(B188=2025,C188&lt;=13)),"Temporada 2024-25",IF(AND(B188=2025,C188&gt;=36,C188&lt;=42),"Sep-oct 2025","Resto del año"))</f>
        <v>Sep-oct 2025</v>
      </c>
    </row>
    <row r="189" customFormat="false" ht="15" hidden="false" customHeight="false" outlineLevel="0" collapsed="false">
      <c r="A189" s="7" t="s">
        <v>46</v>
      </c>
      <c r="B189" s="7" t="n">
        <v>2025</v>
      </c>
      <c r="C189" s="7" t="n">
        <v>42</v>
      </c>
      <c r="D189" s="7" t="n">
        <v>10</v>
      </c>
      <c r="E189" s="20" t="n">
        <v>13963</v>
      </c>
      <c r="F189" s="20" t="n">
        <v>16204</v>
      </c>
      <c r="G189" s="20" t="n">
        <v>140155</v>
      </c>
      <c r="H189" s="20" t="n">
        <v>133153</v>
      </c>
      <c r="I189" s="31" t="n">
        <v>0.7078</v>
      </c>
      <c r="J189" s="32" t="b">
        <f aca="false">FALSE()</f>
        <v>0</v>
      </c>
      <c r="K189" s="32" t="b">
        <f aca="false">FALSE()</f>
        <v>0</v>
      </c>
      <c r="L189" s="32" t="b">
        <f aca="false">FALSE()</f>
        <v>0</v>
      </c>
      <c r="M189" s="32" t="b">
        <f aca="false">FALSE()</f>
        <v>0</v>
      </c>
      <c r="N189" s="6" t="str">
        <f aca="false">IF(OR(AND(B189=2024,C189&gt;=43),AND(B189=2025,C189&lt;=13)),"Temporada 2024-25",IF(AND(B189=2025,C189&gt;=36,C189&lt;=42),"Sep-oct 2025","Resto del año"))</f>
        <v>Sep-oct 2025</v>
      </c>
    </row>
    <row r="190" customFormat="false" ht="15" hidden="false" customHeight="false" outlineLevel="0" collapsed="false">
      <c r="A190" s="7" t="s">
        <v>44</v>
      </c>
      <c r="B190" s="7" t="n">
        <v>2024</v>
      </c>
      <c r="C190" s="7" t="n">
        <v>1</v>
      </c>
      <c r="D190" s="7" t="n">
        <v>1</v>
      </c>
      <c r="E190" s="20" t="n">
        <v>27699</v>
      </c>
      <c r="F190" s="20" t="n">
        <v>34444</v>
      </c>
      <c r="G190" s="20" t="n">
        <v>425535</v>
      </c>
      <c r="H190" s="20" t="n">
        <v>408926</v>
      </c>
      <c r="I190" s="31" t="n">
        <v>0.6803</v>
      </c>
      <c r="J190" s="32" t="b">
        <f aca="false">FALSE()</f>
        <v>0</v>
      </c>
      <c r="K190" s="32" t="b">
        <f aca="false">FALSE()</f>
        <v>0</v>
      </c>
      <c r="L190" s="32" t="b">
        <f aca="false">FALSE()</f>
        <v>0</v>
      </c>
      <c r="M190" s="32" t="b">
        <f aca="false">FALSE()</f>
        <v>0</v>
      </c>
      <c r="N190" s="6" t="str">
        <f aca="false">IF(OR(AND(B190=2024,C190&gt;=43),AND(B190=2025,C190&lt;=13)),"Temporada 2024-25",IF(AND(B190=2025,C190&gt;=36,C190&lt;=42),"Sep-oct 2025","Resto del año"))</f>
        <v>Resto del año</v>
      </c>
    </row>
    <row r="191" customFormat="false" ht="15" hidden="false" customHeight="false" outlineLevel="0" collapsed="false">
      <c r="A191" s="7" t="s">
        <v>44</v>
      </c>
      <c r="B191" s="7" t="n">
        <v>2024</v>
      </c>
      <c r="C191" s="7" t="n">
        <v>2</v>
      </c>
      <c r="D191" s="7" t="n">
        <v>1</v>
      </c>
      <c r="E191" s="20" t="n">
        <v>27592</v>
      </c>
      <c r="F191" s="20" t="n">
        <v>28845</v>
      </c>
      <c r="G191" s="20" t="n">
        <v>420088</v>
      </c>
      <c r="H191" s="20" t="n">
        <v>405353</v>
      </c>
      <c r="I191" s="31" t="n">
        <v>0.614</v>
      </c>
      <c r="J191" s="32" t="b">
        <f aca="false">FALSE()</f>
        <v>0</v>
      </c>
      <c r="K191" s="32" t="b">
        <f aca="false">FALSE()</f>
        <v>0</v>
      </c>
      <c r="L191" s="32" t="b">
        <f aca="false">FALSE()</f>
        <v>0</v>
      </c>
      <c r="M191" s="32" t="b">
        <f aca="false">FALSE()</f>
        <v>0</v>
      </c>
      <c r="N191" s="6" t="str">
        <f aca="false">IF(OR(AND(B191=2024,C191&gt;=43),AND(B191=2025,C191&lt;=13)),"Temporada 2024-25",IF(AND(B191=2025,C191&gt;=36,C191&lt;=42),"Sep-oct 2025","Resto del año"))</f>
        <v>Resto del año</v>
      </c>
    </row>
    <row r="192" customFormat="false" ht="15" hidden="false" customHeight="false" outlineLevel="0" collapsed="false">
      <c r="A192" s="7" t="s">
        <v>44</v>
      </c>
      <c r="B192" s="7" t="n">
        <v>2024</v>
      </c>
      <c r="C192" s="7" t="n">
        <v>3</v>
      </c>
      <c r="D192" s="7" t="n">
        <v>1</v>
      </c>
      <c r="E192" s="20" t="n">
        <v>22000</v>
      </c>
      <c r="F192" s="20" t="n">
        <v>23809</v>
      </c>
      <c r="G192" s="20" t="n">
        <v>462690</v>
      </c>
      <c r="H192" s="20" t="n">
        <v>410390</v>
      </c>
      <c r="I192" s="31" t="n">
        <v>0.5273</v>
      </c>
      <c r="J192" s="32" t="b">
        <f aca="false">FALSE()</f>
        <v>0</v>
      </c>
      <c r="K192" s="32" t="b">
        <f aca="false">FALSE()</f>
        <v>0</v>
      </c>
      <c r="L192" s="32" t="b">
        <f aca="false">FALSE()</f>
        <v>0</v>
      </c>
      <c r="M192" s="32" t="b">
        <f aca="false">FALSE()</f>
        <v>0</v>
      </c>
      <c r="N192" s="6" t="str">
        <f aca="false">IF(OR(AND(B192=2024,C192&gt;=43),AND(B192=2025,C192&lt;=13)),"Temporada 2024-25",IF(AND(B192=2025,C192&gt;=36,C192&lt;=42),"Sep-oct 2025","Resto del año"))</f>
        <v>Resto del año</v>
      </c>
    </row>
    <row r="193" customFormat="false" ht="15" hidden="false" customHeight="false" outlineLevel="0" collapsed="false">
      <c r="A193" s="7" t="s">
        <v>44</v>
      </c>
      <c r="B193" s="7" t="n">
        <v>2024</v>
      </c>
      <c r="C193" s="7" t="n">
        <v>4</v>
      </c>
      <c r="D193" s="7" t="n">
        <v>1</v>
      </c>
      <c r="E193" s="20" t="n">
        <v>22537</v>
      </c>
      <c r="F193" s="20" t="n">
        <v>25824</v>
      </c>
      <c r="G193" s="20" t="n">
        <v>411986</v>
      </c>
      <c r="H193" s="20" t="n">
        <v>404814</v>
      </c>
      <c r="I193" s="31" t="n">
        <v>0.4565</v>
      </c>
      <c r="J193" s="32" t="b">
        <f aca="false">FALSE()</f>
        <v>0</v>
      </c>
      <c r="K193" s="32" t="b">
        <f aca="false">FALSE()</f>
        <v>0</v>
      </c>
      <c r="L193" s="32" t="b">
        <f aca="false">FALSE()</f>
        <v>0</v>
      </c>
      <c r="M193" s="32" t="b">
        <f aca="false">FALSE()</f>
        <v>0</v>
      </c>
      <c r="N193" s="6" t="str">
        <f aca="false">IF(OR(AND(B193=2024,C193&gt;=43),AND(B193=2025,C193&lt;=13)),"Temporada 2024-25",IF(AND(B193=2025,C193&gt;=36,C193&lt;=42),"Sep-oct 2025","Resto del año"))</f>
        <v>Resto del año</v>
      </c>
    </row>
    <row r="194" customFormat="false" ht="15" hidden="false" customHeight="false" outlineLevel="0" collapsed="false">
      <c r="A194" s="7" t="s">
        <v>44</v>
      </c>
      <c r="B194" s="7" t="n">
        <v>2024</v>
      </c>
      <c r="C194" s="7" t="n">
        <v>5</v>
      </c>
      <c r="D194" s="7" t="n">
        <v>1</v>
      </c>
      <c r="E194" s="20" t="n">
        <v>40497</v>
      </c>
      <c r="F194" s="20" t="n">
        <v>39958</v>
      </c>
      <c r="G194" s="20" t="n">
        <v>451627</v>
      </c>
      <c r="H194" s="20" t="n">
        <v>451199</v>
      </c>
      <c r="I194" s="31" t="n">
        <v>0.4299</v>
      </c>
      <c r="J194" s="32" t="b">
        <f aca="false">FALSE()</f>
        <v>0</v>
      </c>
      <c r="K194" s="32" t="b">
        <f aca="false">FALSE()</f>
        <v>0</v>
      </c>
      <c r="L194" s="32" t="b">
        <f aca="false">FALSE()</f>
        <v>0</v>
      </c>
      <c r="M194" s="32" t="b">
        <f aca="false">FALSE()</f>
        <v>0</v>
      </c>
      <c r="N194" s="6" t="str">
        <f aca="false">IF(OR(AND(B194=2024,C194&gt;=43),AND(B194=2025,C194&lt;=13)),"Temporada 2024-25",IF(AND(B194=2025,C194&gt;=36,C194&lt;=42),"Sep-oct 2025","Resto del año"))</f>
        <v>Resto del año</v>
      </c>
    </row>
    <row r="195" customFormat="false" ht="15" hidden="false" customHeight="false" outlineLevel="0" collapsed="false">
      <c r="A195" s="7" t="s">
        <v>44</v>
      </c>
      <c r="B195" s="7" t="n">
        <v>2024</v>
      </c>
      <c r="C195" s="7" t="n">
        <v>6</v>
      </c>
      <c r="D195" s="7" t="n">
        <v>2</v>
      </c>
      <c r="E195" s="20" t="n">
        <v>45715</v>
      </c>
      <c r="F195" s="20" t="n">
        <v>44692</v>
      </c>
      <c r="G195" s="20" t="n">
        <v>441195</v>
      </c>
      <c r="H195" s="20" t="n">
        <v>439024</v>
      </c>
      <c r="I195" s="31" t="n">
        <v>0.4243</v>
      </c>
      <c r="J195" s="32" t="b">
        <f aca="false">FALSE()</f>
        <v>0</v>
      </c>
      <c r="K195" s="32" t="b">
        <f aca="false">FALSE()</f>
        <v>0</v>
      </c>
      <c r="L195" s="32" t="b">
        <f aca="false">FALSE()</f>
        <v>0</v>
      </c>
      <c r="M195" s="32" t="b">
        <f aca="false">FALSE()</f>
        <v>0</v>
      </c>
      <c r="N195" s="6" t="str">
        <f aca="false">IF(OR(AND(B195=2024,C195&gt;=43),AND(B195=2025,C195&lt;=13)),"Temporada 2024-25",IF(AND(B195=2025,C195&gt;=36,C195&lt;=42),"Sep-oct 2025","Resto del año"))</f>
        <v>Resto del año</v>
      </c>
    </row>
    <row r="196" customFormat="false" ht="15" hidden="false" customHeight="false" outlineLevel="0" collapsed="false">
      <c r="A196" s="7" t="s">
        <v>44</v>
      </c>
      <c r="B196" s="7" t="n">
        <v>2024</v>
      </c>
      <c r="C196" s="7" t="n">
        <v>7</v>
      </c>
      <c r="D196" s="7" t="n">
        <v>2</v>
      </c>
      <c r="E196" s="20" t="n">
        <v>48883</v>
      </c>
      <c r="F196" s="20" t="n">
        <v>48470</v>
      </c>
      <c r="G196" s="20" t="n">
        <v>469093</v>
      </c>
      <c r="H196" s="20" t="n">
        <v>455706</v>
      </c>
      <c r="I196" s="31" t="n">
        <v>0.4194</v>
      </c>
      <c r="J196" s="32" t="b">
        <f aca="false">FALSE()</f>
        <v>0</v>
      </c>
      <c r="K196" s="32" t="b">
        <f aca="false">FALSE()</f>
        <v>0</v>
      </c>
      <c r="L196" s="32" t="b">
        <f aca="false">FALSE()</f>
        <v>0</v>
      </c>
      <c r="M196" s="32" t="b">
        <f aca="false">FALSE()</f>
        <v>0</v>
      </c>
      <c r="N196" s="6" t="str">
        <f aca="false">IF(OR(AND(B196=2024,C196&gt;=43),AND(B196=2025,C196&lt;=13)),"Temporada 2024-25",IF(AND(B196=2025,C196&gt;=36,C196&lt;=42),"Sep-oct 2025","Resto del año"))</f>
        <v>Resto del año</v>
      </c>
    </row>
    <row r="197" customFormat="false" ht="15" hidden="false" customHeight="false" outlineLevel="0" collapsed="false">
      <c r="A197" s="7" t="s">
        <v>44</v>
      </c>
      <c r="B197" s="7" t="n">
        <v>2024</v>
      </c>
      <c r="C197" s="7" t="n">
        <v>8</v>
      </c>
      <c r="D197" s="7" t="n">
        <v>2</v>
      </c>
      <c r="E197" s="20" t="n">
        <v>53661</v>
      </c>
      <c r="F197" s="20" t="n">
        <v>55539</v>
      </c>
      <c r="G197" s="20" t="n">
        <v>413557</v>
      </c>
      <c r="H197" s="20" t="n">
        <v>454071</v>
      </c>
      <c r="I197" s="31" t="n">
        <v>0.4329</v>
      </c>
      <c r="J197" s="32" t="b">
        <f aca="false">FALSE()</f>
        <v>0</v>
      </c>
      <c r="K197" s="32" t="b">
        <f aca="false">FALSE()</f>
        <v>0</v>
      </c>
      <c r="L197" s="32" t="b">
        <f aca="false">FALSE()</f>
        <v>0</v>
      </c>
      <c r="M197" s="32" t="b">
        <f aca="false">FALSE()</f>
        <v>0</v>
      </c>
      <c r="N197" s="6" t="str">
        <f aca="false">IF(OR(AND(B197=2024,C197&gt;=43),AND(B197=2025,C197&lt;=13)),"Temporada 2024-25",IF(AND(B197=2025,C197&gt;=36,C197&lt;=42),"Sep-oct 2025","Resto del año"))</f>
        <v>Resto del año</v>
      </c>
    </row>
    <row r="198" customFormat="false" ht="15" hidden="false" customHeight="false" outlineLevel="0" collapsed="false">
      <c r="A198" s="7" t="s">
        <v>44</v>
      </c>
      <c r="B198" s="7" t="n">
        <v>2024</v>
      </c>
      <c r="C198" s="7" t="n">
        <v>9</v>
      </c>
      <c r="D198" s="7" t="n">
        <v>2</v>
      </c>
      <c r="E198" s="20" t="n">
        <v>64602</v>
      </c>
      <c r="F198" s="20" t="n">
        <v>62888</v>
      </c>
      <c r="G198" s="20" t="n">
        <v>500094</v>
      </c>
      <c r="H198" s="20" t="n">
        <v>484146</v>
      </c>
      <c r="I198" s="31" t="n">
        <v>0.4752</v>
      </c>
      <c r="J198" s="32" t="b">
        <f aca="false">FALSE()</f>
        <v>0</v>
      </c>
      <c r="K198" s="32" t="b">
        <f aca="false">FALSE()</f>
        <v>0</v>
      </c>
      <c r="L198" s="32" t="b">
        <f aca="false">FALSE()</f>
        <v>0</v>
      </c>
      <c r="M198" s="32" t="b">
        <f aca="false">FALSE()</f>
        <v>0</v>
      </c>
      <c r="N198" s="6" t="str">
        <f aca="false">IF(OR(AND(B198=2024,C198&gt;=43),AND(B198=2025,C198&lt;=13)),"Temporada 2024-25",IF(AND(B198=2025,C198&gt;=36,C198&lt;=42),"Sep-oct 2025","Resto del año"))</f>
        <v>Resto del año</v>
      </c>
    </row>
    <row r="199" customFormat="false" ht="15" hidden="false" customHeight="false" outlineLevel="0" collapsed="false">
      <c r="A199" s="7" t="s">
        <v>44</v>
      </c>
      <c r="B199" s="7" t="n">
        <v>2024</v>
      </c>
      <c r="C199" s="7" t="n">
        <v>10</v>
      </c>
      <c r="D199" s="7" t="n">
        <v>3</v>
      </c>
      <c r="E199" s="20" t="n">
        <v>51145</v>
      </c>
      <c r="F199" s="20" t="n">
        <v>56344</v>
      </c>
      <c r="G199" s="20" t="n">
        <v>502257</v>
      </c>
      <c r="H199" s="20" t="n">
        <v>496250</v>
      </c>
      <c r="I199" s="31" t="n">
        <v>0.4765</v>
      </c>
      <c r="J199" s="32" t="b">
        <f aca="false">FALSE()</f>
        <v>0</v>
      </c>
      <c r="K199" s="32" t="b">
        <f aca="false">FALSE()</f>
        <v>0</v>
      </c>
      <c r="L199" s="32" t="b">
        <f aca="false">FALSE()</f>
        <v>0</v>
      </c>
      <c r="M199" s="32" t="b">
        <f aca="false">FALSE()</f>
        <v>0</v>
      </c>
      <c r="N199" s="6" t="str">
        <f aca="false">IF(OR(AND(B199=2024,C199&gt;=43),AND(B199=2025,C199&lt;=13)),"Temporada 2024-25",IF(AND(B199=2025,C199&gt;=36,C199&lt;=42),"Sep-oct 2025","Resto del año"))</f>
        <v>Resto del año</v>
      </c>
    </row>
    <row r="200" customFormat="false" ht="15" hidden="false" customHeight="false" outlineLevel="0" collapsed="false">
      <c r="A200" s="7" t="s">
        <v>44</v>
      </c>
      <c r="B200" s="7" t="n">
        <v>2024</v>
      </c>
      <c r="C200" s="7" t="n">
        <v>11</v>
      </c>
      <c r="D200" s="7" t="n">
        <v>3</v>
      </c>
      <c r="E200" s="20" t="n">
        <v>48173</v>
      </c>
      <c r="F200" s="20" t="n">
        <v>56680</v>
      </c>
      <c r="G200" s="20" t="n">
        <v>466323</v>
      </c>
      <c r="H200" s="20" t="n">
        <v>472014</v>
      </c>
      <c r="I200" s="31" t="n">
        <v>0.506</v>
      </c>
      <c r="J200" s="32" t="b">
        <f aca="false">FALSE()</f>
        <v>0</v>
      </c>
      <c r="K200" s="32" t="b">
        <f aca="false">FALSE()</f>
        <v>0</v>
      </c>
      <c r="L200" s="32" t="b">
        <f aca="false">FALSE()</f>
        <v>0</v>
      </c>
      <c r="M200" s="32" t="b">
        <f aca="false">FALSE()</f>
        <v>0</v>
      </c>
      <c r="N200" s="6" t="str">
        <f aca="false">IF(OR(AND(B200=2024,C200&gt;=43),AND(B200=2025,C200&lt;=13)),"Temporada 2024-25",IF(AND(B200=2025,C200&gt;=36,C200&lt;=42),"Sep-oct 2025","Resto del año"))</f>
        <v>Resto del año</v>
      </c>
    </row>
    <row r="201" customFormat="false" ht="15" hidden="false" customHeight="false" outlineLevel="0" collapsed="false">
      <c r="A201" s="7" t="s">
        <v>44</v>
      </c>
      <c r="B201" s="7" t="n">
        <v>2024</v>
      </c>
      <c r="C201" s="7" t="n">
        <v>12</v>
      </c>
      <c r="D201" s="7" t="n">
        <v>3</v>
      </c>
      <c r="E201" s="20" t="n">
        <v>55896</v>
      </c>
      <c r="F201" s="20" t="n">
        <v>60085</v>
      </c>
      <c r="G201" s="20" t="n">
        <v>400000</v>
      </c>
      <c r="H201" s="20" t="n">
        <v>479438</v>
      </c>
      <c r="I201" s="31" t="n">
        <v>0.5311</v>
      </c>
      <c r="J201" s="32" t="b">
        <f aca="false">FALSE()</f>
        <v>0</v>
      </c>
      <c r="K201" s="32" t="b">
        <f aca="false">FALSE()</f>
        <v>0</v>
      </c>
      <c r="L201" s="32" t="b">
        <f aca="false">FALSE()</f>
        <v>0</v>
      </c>
      <c r="M201" s="32" t="b">
        <f aca="false">TRUE()</f>
        <v>1</v>
      </c>
      <c r="N201" s="6" t="str">
        <f aca="false">IF(OR(AND(B201=2024,C201&gt;=43),AND(B201=2025,C201&lt;=13)),"Temporada 2024-25",IF(AND(B201=2025,C201&gt;=36,C201&lt;=42),"Sep-oct 2025","Resto del año"))</f>
        <v>Resto del año</v>
      </c>
    </row>
    <row r="202" customFormat="false" ht="15" hidden="false" customHeight="false" outlineLevel="0" collapsed="false">
      <c r="A202" s="7" t="s">
        <v>44</v>
      </c>
      <c r="B202" s="7" t="n">
        <v>2024</v>
      </c>
      <c r="C202" s="7" t="n">
        <v>13</v>
      </c>
      <c r="D202" s="7" t="n">
        <v>3</v>
      </c>
      <c r="E202" s="20" t="n">
        <v>62493</v>
      </c>
      <c r="F202" s="20" t="n">
        <v>59446</v>
      </c>
      <c r="G202" s="20" t="n">
        <v>494451</v>
      </c>
      <c r="H202" s="20" t="n">
        <v>469123</v>
      </c>
      <c r="I202" s="31" t="n">
        <v>0.5569</v>
      </c>
      <c r="J202" s="32" t="b">
        <f aca="false">FALSE()</f>
        <v>0</v>
      </c>
      <c r="K202" s="32" t="b">
        <f aca="false">FALSE()</f>
        <v>0</v>
      </c>
      <c r="L202" s="32" t="b">
        <f aca="false">FALSE()</f>
        <v>0</v>
      </c>
      <c r="M202" s="32" t="b">
        <f aca="false">FALSE()</f>
        <v>0</v>
      </c>
      <c r="N202" s="6" t="str">
        <f aca="false">IF(OR(AND(B202=2024,C202&gt;=43),AND(B202=2025,C202&lt;=13)),"Temporada 2024-25",IF(AND(B202=2025,C202&gt;=36,C202&lt;=42),"Sep-oct 2025","Resto del año"))</f>
        <v>Resto del año</v>
      </c>
    </row>
    <row r="203" customFormat="false" ht="15" hidden="false" customHeight="false" outlineLevel="0" collapsed="false">
      <c r="A203" s="7" t="s">
        <v>44</v>
      </c>
      <c r="B203" s="7" t="n">
        <v>2024</v>
      </c>
      <c r="C203" s="7" t="n">
        <v>14</v>
      </c>
      <c r="D203" s="7" t="n">
        <v>4</v>
      </c>
      <c r="E203" s="20" t="n">
        <v>58839</v>
      </c>
      <c r="F203" s="20" t="n">
        <v>57100</v>
      </c>
      <c r="G203" s="20" t="n">
        <v>426013</v>
      </c>
      <c r="H203" s="20" t="n">
        <v>452880</v>
      </c>
      <c r="I203" s="31" t="n">
        <v>0.5855</v>
      </c>
      <c r="J203" s="32" t="b">
        <f aca="false">FALSE()</f>
        <v>0</v>
      </c>
      <c r="K203" s="32" t="b">
        <f aca="false">FALSE()</f>
        <v>0</v>
      </c>
      <c r="L203" s="32" t="b">
        <f aca="false">FALSE()</f>
        <v>0</v>
      </c>
      <c r="M203" s="32" t="b">
        <f aca="false">FALSE()</f>
        <v>0</v>
      </c>
      <c r="N203" s="6" t="str">
        <f aca="false">IF(OR(AND(B203=2024,C203&gt;=43),AND(B203=2025,C203&lt;=13)),"Temporada 2024-25",IF(AND(B203=2025,C203&gt;=36,C203&lt;=42),"Sep-oct 2025","Resto del año"))</f>
        <v>Resto del año</v>
      </c>
    </row>
    <row r="204" customFormat="false" ht="15" hidden="false" customHeight="false" outlineLevel="0" collapsed="false">
      <c r="A204" s="7" t="s">
        <v>44</v>
      </c>
      <c r="B204" s="7" t="n">
        <v>2024</v>
      </c>
      <c r="C204" s="7" t="n">
        <v>15</v>
      </c>
      <c r="D204" s="7" t="n">
        <v>4</v>
      </c>
      <c r="E204" s="20" t="n">
        <v>57932</v>
      </c>
      <c r="F204" s="20" t="n">
        <v>58726</v>
      </c>
      <c r="G204" s="20" t="n">
        <v>491865</v>
      </c>
      <c r="H204" s="20" t="n">
        <v>464310</v>
      </c>
      <c r="I204" s="31" t="n">
        <v>0.6067</v>
      </c>
      <c r="J204" s="32" t="b">
        <f aca="false">FALSE()</f>
        <v>0</v>
      </c>
      <c r="K204" s="32" t="b">
        <f aca="false">FALSE()</f>
        <v>0</v>
      </c>
      <c r="L204" s="32" t="b">
        <f aca="false">FALSE()</f>
        <v>0</v>
      </c>
      <c r="M204" s="32" t="b">
        <f aca="false">FALSE()</f>
        <v>0</v>
      </c>
      <c r="N204" s="6" t="str">
        <f aca="false">IF(OR(AND(B204=2024,C204&gt;=43),AND(B204=2025,C204&lt;=13)),"Temporada 2024-25",IF(AND(B204=2025,C204&gt;=36,C204&lt;=42),"Sep-oct 2025","Resto del año"))</f>
        <v>Resto del año</v>
      </c>
    </row>
    <row r="205" customFormat="false" ht="15" hidden="false" customHeight="false" outlineLevel="0" collapsed="false">
      <c r="A205" s="7" t="s">
        <v>44</v>
      </c>
      <c r="B205" s="7" t="n">
        <v>2024</v>
      </c>
      <c r="C205" s="7" t="n">
        <v>16</v>
      </c>
      <c r="D205" s="7" t="n">
        <v>4</v>
      </c>
      <c r="E205" s="20" t="n">
        <v>39738</v>
      </c>
      <c r="F205" s="20" t="n">
        <v>46168</v>
      </c>
      <c r="G205" s="20" t="n">
        <v>416955</v>
      </c>
      <c r="H205" s="20" t="n">
        <v>441580</v>
      </c>
      <c r="I205" s="31" t="n">
        <v>0.596</v>
      </c>
      <c r="J205" s="32" t="b">
        <f aca="false">FALSE()</f>
        <v>0</v>
      </c>
      <c r="K205" s="32" t="b">
        <f aca="false">FALSE()</f>
        <v>0</v>
      </c>
      <c r="L205" s="32" t="b">
        <f aca="false">FALSE()</f>
        <v>0</v>
      </c>
      <c r="M205" s="32" t="b">
        <f aca="false">FALSE()</f>
        <v>0</v>
      </c>
      <c r="N205" s="6" t="str">
        <f aca="false">IF(OR(AND(B205=2024,C205&gt;=43),AND(B205=2025,C205&lt;=13)),"Temporada 2024-25",IF(AND(B205=2025,C205&gt;=36,C205&lt;=42),"Sep-oct 2025","Resto del año"))</f>
        <v>Resto del año</v>
      </c>
    </row>
    <row r="206" customFormat="false" ht="15" hidden="false" customHeight="false" outlineLevel="0" collapsed="false">
      <c r="A206" s="7" t="s">
        <v>44</v>
      </c>
      <c r="B206" s="7" t="n">
        <v>2024</v>
      </c>
      <c r="C206" s="7" t="n">
        <v>17</v>
      </c>
      <c r="D206" s="7" t="n">
        <v>4</v>
      </c>
      <c r="E206" s="20" t="n">
        <v>47350</v>
      </c>
      <c r="F206" s="20" t="n">
        <v>52796</v>
      </c>
      <c r="G206" s="20" t="n">
        <v>477967</v>
      </c>
      <c r="H206" s="20" t="n">
        <v>441306</v>
      </c>
      <c r="I206" s="31" t="n">
        <v>0.5919</v>
      </c>
      <c r="J206" s="32" t="b">
        <f aca="false">FALSE()</f>
        <v>0</v>
      </c>
      <c r="K206" s="32" t="b">
        <f aca="false">FALSE()</f>
        <v>0</v>
      </c>
      <c r="L206" s="32" t="b">
        <f aca="false">FALSE()</f>
        <v>0</v>
      </c>
      <c r="M206" s="32" t="b">
        <f aca="false">FALSE()</f>
        <v>0</v>
      </c>
      <c r="N206" s="6" t="str">
        <f aca="false">IF(OR(AND(B206=2024,C206&gt;=43),AND(B206=2025,C206&lt;=13)),"Temporada 2024-25",IF(AND(B206=2025,C206&gt;=36,C206&lt;=42),"Sep-oct 2025","Resto del año"))</f>
        <v>Resto del año</v>
      </c>
    </row>
    <row r="207" customFormat="false" ht="15" hidden="false" customHeight="false" outlineLevel="0" collapsed="false">
      <c r="A207" s="7" t="s">
        <v>44</v>
      </c>
      <c r="B207" s="7" t="n">
        <v>2024</v>
      </c>
      <c r="C207" s="7" t="n">
        <v>18</v>
      </c>
      <c r="D207" s="7" t="n">
        <v>4</v>
      </c>
      <c r="E207" s="20" t="n">
        <v>56090</v>
      </c>
      <c r="F207" s="20" t="n">
        <v>54804</v>
      </c>
      <c r="G207" s="20" t="n">
        <v>441133</v>
      </c>
      <c r="H207" s="20" t="n">
        <v>442782</v>
      </c>
      <c r="I207" s="31" t="n">
        <v>0.6086</v>
      </c>
      <c r="J207" s="32" t="b">
        <f aca="false">FALSE()</f>
        <v>0</v>
      </c>
      <c r="K207" s="32" t="b">
        <f aca="false">FALSE()</f>
        <v>0</v>
      </c>
      <c r="L207" s="32" t="b">
        <f aca="false">FALSE()</f>
        <v>0</v>
      </c>
      <c r="M207" s="32" t="b">
        <f aca="false">FALSE()</f>
        <v>0</v>
      </c>
      <c r="N207" s="6" t="str">
        <f aca="false">IF(OR(AND(B207=2024,C207&gt;=43),AND(B207=2025,C207&lt;=13)),"Temporada 2024-25",IF(AND(B207=2025,C207&gt;=36,C207&lt;=42),"Sep-oct 2025","Resto del año"))</f>
        <v>Resto del año</v>
      </c>
    </row>
    <row r="208" customFormat="false" ht="15" hidden="false" customHeight="false" outlineLevel="0" collapsed="false">
      <c r="A208" s="7" t="s">
        <v>44</v>
      </c>
      <c r="B208" s="7" t="n">
        <v>2024</v>
      </c>
      <c r="C208" s="7" t="n">
        <v>19</v>
      </c>
      <c r="D208" s="7" t="n">
        <v>5</v>
      </c>
      <c r="E208" s="20" t="n">
        <v>52085</v>
      </c>
      <c r="F208" s="20" t="n">
        <v>57508</v>
      </c>
      <c r="G208" s="20" t="n">
        <v>502160</v>
      </c>
      <c r="H208" s="20" t="n">
        <v>477342</v>
      </c>
      <c r="I208" s="31" t="n">
        <v>0.6094</v>
      </c>
      <c r="J208" s="32" t="b">
        <f aca="false">FALSE()</f>
        <v>0</v>
      </c>
      <c r="K208" s="32" t="b">
        <f aca="false">FALSE()</f>
        <v>0</v>
      </c>
      <c r="L208" s="32" t="b">
        <f aca="false">FALSE()</f>
        <v>0</v>
      </c>
      <c r="M208" s="32" t="b">
        <f aca="false">FALSE()</f>
        <v>0</v>
      </c>
      <c r="N208" s="6" t="str">
        <f aca="false">IF(OR(AND(B208=2024,C208&gt;=43),AND(B208=2025,C208&lt;=13)),"Temporada 2024-25",IF(AND(B208=2025,C208&gt;=36,C208&lt;=42),"Sep-oct 2025","Resto del año"))</f>
        <v>Resto del año</v>
      </c>
    </row>
    <row r="209" customFormat="false" ht="15" hidden="false" customHeight="false" outlineLevel="0" collapsed="false">
      <c r="A209" s="7" t="s">
        <v>44</v>
      </c>
      <c r="B209" s="7" t="n">
        <v>2024</v>
      </c>
      <c r="C209" s="7" t="n">
        <v>20</v>
      </c>
      <c r="D209" s="7" t="n">
        <v>5</v>
      </c>
      <c r="E209" s="20" t="n">
        <v>49219</v>
      </c>
      <c r="F209" s="20" t="n">
        <v>47883</v>
      </c>
      <c r="G209" s="20" t="n">
        <v>442328</v>
      </c>
      <c r="H209" s="20" t="n">
        <v>436409</v>
      </c>
      <c r="I209" s="31" t="n">
        <v>0.6027</v>
      </c>
      <c r="J209" s="32" t="b">
        <f aca="false">FALSE()</f>
        <v>0</v>
      </c>
      <c r="K209" s="32" t="b">
        <f aca="false">FALSE()</f>
        <v>0</v>
      </c>
      <c r="L209" s="32" t="b">
        <f aca="false">FALSE()</f>
        <v>0</v>
      </c>
      <c r="M209" s="32" t="b">
        <f aca="false">FALSE()</f>
        <v>0</v>
      </c>
      <c r="N209" s="6" t="str">
        <f aca="false">IF(OR(AND(B209=2024,C209&gt;=43),AND(B209=2025,C209&lt;=13)),"Temporada 2024-25",IF(AND(B209=2025,C209&gt;=36,C209&lt;=42),"Sep-oct 2025","Resto del año"))</f>
        <v>Resto del año</v>
      </c>
    </row>
    <row r="210" customFormat="false" ht="15" hidden="false" customHeight="false" outlineLevel="0" collapsed="false">
      <c r="A210" s="7" t="s">
        <v>44</v>
      </c>
      <c r="B210" s="7" t="n">
        <v>2024</v>
      </c>
      <c r="C210" s="7" t="n">
        <v>21</v>
      </c>
      <c r="D210" s="7" t="n">
        <v>5</v>
      </c>
      <c r="E210" s="20" t="n">
        <v>60149</v>
      </c>
      <c r="F210" s="20" t="n">
        <v>55889</v>
      </c>
      <c r="G210" s="20" t="n">
        <v>464023</v>
      </c>
      <c r="H210" s="20" t="n">
        <v>442047</v>
      </c>
      <c r="I210" s="31" t="n">
        <v>0.6273</v>
      </c>
      <c r="J210" s="32" t="b">
        <f aca="false">FALSE()</f>
        <v>0</v>
      </c>
      <c r="K210" s="32" t="b">
        <f aca="false">FALSE()</f>
        <v>0</v>
      </c>
      <c r="L210" s="32" t="b">
        <f aca="false">FALSE()</f>
        <v>0</v>
      </c>
      <c r="M210" s="32" t="b">
        <f aca="false">FALSE()</f>
        <v>0</v>
      </c>
      <c r="N210" s="6" t="str">
        <f aca="false">IF(OR(AND(B210=2024,C210&gt;=43),AND(B210=2025,C210&lt;=13)),"Temporada 2024-25",IF(AND(B210=2025,C210&gt;=36,C210&lt;=42),"Sep-oct 2025","Resto del año"))</f>
        <v>Resto del año</v>
      </c>
    </row>
    <row r="211" customFormat="false" ht="15" hidden="false" customHeight="false" outlineLevel="0" collapsed="false">
      <c r="A211" s="7" t="s">
        <v>44</v>
      </c>
      <c r="B211" s="7" t="n">
        <v>2024</v>
      </c>
      <c r="C211" s="7" t="n">
        <v>22</v>
      </c>
      <c r="D211" s="7" t="n">
        <v>5</v>
      </c>
      <c r="E211" s="20" t="n">
        <v>48845</v>
      </c>
      <c r="F211" s="20" t="n">
        <v>54802</v>
      </c>
      <c r="G211" s="20" t="n">
        <v>429800</v>
      </c>
      <c r="H211" s="20" t="n">
        <v>435408</v>
      </c>
      <c r="I211" s="31" t="n">
        <v>0.639</v>
      </c>
      <c r="J211" s="32" t="b">
        <f aca="false">FALSE()</f>
        <v>0</v>
      </c>
      <c r="K211" s="32" t="b">
        <f aca="false">FALSE()</f>
        <v>0</v>
      </c>
      <c r="L211" s="32" t="b">
        <f aca="false">FALSE()</f>
        <v>0</v>
      </c>
      <c r="M211" s="32" t="b">
        <f aca="false">FALSE()</f>
        <v>0</v>
      </c>
      <c r="N211" s="6" t="str">
        <f aca="false">IF(OR(AND(B211=2024,C211&gt;=43),AND(B211=2025,C211&lt;=13)),"Temporada 2024-25",IF(AND(B211=2025,C211&gt;=36,C211&lt;=42),"Sep-oct 2025","Resto del año"))</f>
        <v>Resto del año</v>
      </c>
    </row>
    <row r="212" customFormat="false" ht="15" hidden="false" customHeight="false" outlineLevel="0" collapsed="false">
      <c r="A212" s="7" t="s">
        <v>44</v>
      </c>
      <c r="B212" s="7" t="n">
        <v>2024</v>
      </c>
      <c r="C212" s="7" t="n">
        <v>23</v>
      </c>
      <c r="D212" s="7" t="n">
        <v>6</v>
      </c>
      <c r="E212" s="20" t="n">
        <v>42820</v>
      </c>
      <c r="F212" s="20" t="n">
        <v>49752</v>
      </c>
      <c r="G212" s="20" t="n">
        <v>372265</v>
      </c>
      <c r="H212" s="20" t="n">
        <v>404702</v>
      </c>
      <c r="I212" s="31" t="n">
        <v>0.6524</v>
      </c>
      <c r="J212" s="32" t="b">
        <f aca="false">FALSE()</f>
        <v>0</v>
      </c>
      <c r="K212" s="32" t="b">
        <f aca="false">FALSE()</f>
        <v>0</v>
      </c>
      <c r="L212" s="32" t="b">
        <f aca="false">FALSE()</f>
        <v>0</v>
      </c>
      <c r="M212" s="32" t="b">
        <f aca="false">FALSE()</f>
        <v>0</v>
      </c>
      <c r="N212" s="6" t="str">
        <f aca="false">IF(OR(AND(B212=2024,C212&gt;=43),AND(B212=2025,C212&lt;=13)),"Temporada 2024-25",IF(AND(B212=2025,C212&gt;=36,C212&lt;=42),"Sep-oct 2025","Resto del año"))</f>
        <v>Resto del año</v>
      </c>
    </row>
    <row r="213" customFormat="false" ht="15" hidden="false" customHeight="false" outlineLevel="0" collapsed="false">
      <c r="A213" s="7" t="s">
        <v>44</v>
      </c>
      <c r="B213" s="7" t="n">
        <v>2024</v>
      </c>
      <c r="C213" s="7" t="n">
        <v>24</v>
      </c>
      <c r="D213" s="7" t="n">
        <v>6</v>
      </c>
      <c r="E213" s="20" t="n">
        <v>46994</v>
      </c>
      <c r="F213" s="20" t="n">
        <v>55258</v>
      </c>
      <c r="G213" s="20" t="n">
        <v>454238</v>
      </c>
      <c r="H213" s="20" t="n">
        <v>446377</v>
      </c>
      <c r="I213" s="31" t="n">
        <v>0.6647</v>
      </c>
      <c r="J213" s="32" t="b">
        <f aca="false">FALSE()</f>
        <v>0</v>
      </c>
      <c r="K213" s="32" t="b">
        <f aca="false">FALSE()</f>
        <v>0</v>
      </c>
      <c r="L213" s="32" t="b">
        <f aca="false">FALSE()</f>
        <v>0</v>
      </c>
      <c r="M213" s="32" t="b">
        <f aca="false">FALSE()</f>
        <v>0</v>
      </c>
      <c r="N213" s="6" t="str">
        <f aca="false">IF(OR(AND(B213=2024,C213&gt;=43),AND(B213=2025,C213&lt;=13)),"Temporada 2024-25",IF(AND(B213=2025,C213&gt;=36,C213&lt;=42),"Sep-oct 2025","Resto del año"))</f>
        <v>Resto del año</v>
      </c>
    </row>
    <row r="214" customFormat="false" ht="15" hidden="false" customHeight="false" outlineLevel="0" collapsed="false">
      <c r="A214" s="7" t="s">
        <v>44</v>
      </c>
      <c r="B214" s="7" t="n">
        <v>2024</v>
      </c>
      <c r="C214" s="7" t="n">
        <v>25</v>
      </c>
      <c r="D214" s="7" t="n">
        <v>6</v>
      </c>
      <c r="E214" s="20" t="n">
        <v>54558</v>
      </c>
      <c r="F214" s="20" t="n">
        <v>52903</v>
      </c>
      <c r="G214" s="20" t="n">
        <v>403030</v>
      </c>
      <c r="H214" s="20" t="n">
        <v>417150</v>
      </c>
      <c r="I214" s="31" t="n">
        <v>0.6714</v>
      </c>
      <c r="J214" s="32" t="b">
        <f aca="false">FALSE()</f>
        <v>0</v>
      </c>
      <c r="K214" s="32" t="b">
        <f aca="false">FALSE()</f>
        <v>0</v>
      </c>
      <c r="L214" s="32" t="b">
        <f aca="false">FALSE()</f>
        <v>0</v>
      </c>
      <c r="M214" s="32" t="b">
        <f aca="false">FALSE()</f>
        <v>0</v>
      </c>
      <c r="N214" s="6" t="str">
        <f aca="false">IF(OR(AND(B214=2024,C214&gt;=43),AND(B214=2025,C214&lt;=13)),"Temporada 2024-25",IF(AND(B214=2025,C214&gt;=36,C214&lt;=42),"Sep-oct 2025","Resto del año"))</f>
        <v>Resto del año</v>
      </c>
    </row>
    <row r="215" customFormat="false" ht="15" hidden="false" customHeight="false" outlineLevel="0" collapsed="false">
      <c r="A215" s="7" t="s">
        <v>44</v>
      </c>
      <c r="B215" s="7" t="n">
        <v>2024</v>
      </c>
      <c r="C215" s="7" t="n">
        <v>26</v>
      </c>
      <c r="D215" s="7" t="n">
        <v>6</v>
      </c>
      <c r="E215" s="20" t="n">
        <v>55120</v>
      </c>
      <c r="F215" s="20" t="n">
        <v>54092</v>
      </c>
      <c r="G215" s="20" t="n">
        <v>418240</v>
      </c>
      <c r="H215" s="20" t="n">
        <v>445339</v>
      </c>
      <c r="I215" s="31" t="n">
        <v>0.6769</v>
      </c>
      <c r="J215" s="32" t="b">
        <f aca="false">FALSE()</f>
        <v>0</v>
      </c>
      <c r="K215" s="32" t="b">
        <f aca="false">FALSE()</f>
        <v>0</v>
      </c>
      <c r="L215" s="32" t="b">
        <f aca="false">FALSE()</f>
        <v>0</v>
      </c>
      <c r="M215" s="32" t="b">
        <f aca="false">FALSE()</f>
        <v>0</v>
      </c>
      <c r="N215" s="6" t="str">
        <f aca="false">IF(OR(AND(B215=2024,C215&gt;=43),AND(B215=2025,C215&lt;=13)),"Temporada 2024-25",IF(AND(B215=2025,C215&gt;=36,C215&lt;=42),"Sep-oct 2025","Resto del año"))</f>
        <v>Resto del año</v>
      </c>
    </row>
    <row r="216" customFormat="false" ht="15" hidden="false" customHeight="false" outlineLevel="0" collapsed="false">
      <c r="A216" s="7" t="s">
        <v>44</v>
      </c>
      <c r="B216" s="7" t="n">
        <v>2024</v>
      </c>
      <c r="C216" s="7" t="n">
        <v>27</v>
      </c>
      <c r="D216" s="7" t="n">
        <v>7</v>
      </c>
      <c r="E216" s="20" t="n">
        <v>48498</v>
      </c>
      <c r="F216" s="20" t="n">
        <v>49109</v>
      </c>
      <c r="G216" s="20" t="n">
        <v>408145</v>
      </c>
      <c r="H216" s="20" t="n">
        <v>398990</v>
      </c>
      <c r="I216" s="31" t="n">
        <v>0.6895</v>
      </c>
      <c r="J216" s="32" t="b">
        <f aca="false">FALSE()</f>
        <v>0</v>
      </c>
      <c r="K216" s="32" t="b">
        <f aca="false">FALSE()</f>
        <v>0</v>
      </c>
      <c r="L216" s="32" t="b">
        <f aca="false">FALSE()</f>
        <v>0</v>
      </c>
      <c r="M216" s="32" t="b">
        <f aca="false">FALSE()</f>
        <v>0</v>
      </c>
      <c r="N216" s="6" t="str">
        <f aca="false">IF(OR(AND(B216=2024,C216&gt;=43),AND(B216=2025,C216&lt;=13)),"Temporada 2024-25",IF(AND(B216=2025,C216&gt;=36,C216&lt;=42),"Sep-oct 2025","Resto del año"))</f>
        <v>Resto del año</v>
      </c>
    </row>
    <row r="217" customFormat="false" ht="15" hidden="false" customHeight="false" outlineLevel="0" collapsed="false">
      <c r="A217" s="7" t="s">
        <v>44</v>
      </c>
      <c r="B217" s="7" t="n">
        <v>2024</v>
      </c>
      <c r="C217" s="7" t="n">
        <v>28</v>
      </c>
      <c r="D217" s="7" t="n">
        <v>7</v>
      </c>
      <c r="E217" s="20" t="n">
        <v>46961</v>
      </c>
      <c r="F217" s="20" t="n">
        <v>47673</v>
      </c>
      <c r="G217" s="20" t="n">
        <v>409913</v>
      </c>
      <c r="H217" s="20" t="n">
        <v>420484</v>
      </c>
      <c r="I217" s="31" t="n">
        <v>0.6759</v>
      </c>
      <c r="J217" s="32" t="b">
        <f aca="false">FALSE()</f>
        <v>0</v>
      </c>
      <c r="K217" s="32" t="b">
        <f aca="false">FALSE()</f>
        <v>0</v>
      </c>
      <c r="L217" s="32" t="b">
        <f aca="false">FALSE()</f>
        <v>0</v>
      </c>
      <c r="M217" s="32" t="b">
        <f aca="false">FALSE()</f>
        <v>0</v>
      </c>
      <c r="N217" s="6" t="str">
        <f aca="false">IF(OR(AND(B217=2024,C217&gt;=43),AND(B217=2025,C217&lt;=13)),"Temporada 2024-25",IF(AND(B217=2025,C217&gt;=36,C217&lt;=42),"Sep-oct 2025","Resto del año"))</f>
        <v>Resto del año</v>
      </c>
    </row>
    <row r="218" customFormat="false" ht="15" hidden="false" customHeight="false" outlineLevel="0" collapsed="false">
      <c r="A218" s="7" t="s">
        <v>44</v>
      </c>
      <c r="B218" s="7" t="n">
        <v>2024</v>
      </c>
      <c r="C218" s="7" t="n">
        <v>29</v>
      </c>
      <c r="D218" s="7" t="n">
        <v>7</v>
      </c>
      <c r="E218" s="20" t="n">
        <v>44907</v>
      </c>
      <c r="F218" s="20" t="n">
        <v>49798</v>
      </c>
      <c r="G218" s="20" t="n">
        <v>411452</v>
      </c>
      <c r="H218" s="20" t="n">
        <v>408604</v>
      </c>
      <c r="I218" s="31" t="n">
        <v>0.6827</v>
      </c>
      <c r="J218" s="32" t="b">
        <f aca="false">FALSE()</f>
        <v>0</v>
      </c>
      <c r="K218" s="32" t="b">
        <f aca="false">FALSE()</f>
        <v>0</v>
      </c>
      <c r="L218" s="32" t="b">
        <f aca="false">FALSE()</f>
        <v>0</v>
      </c>
      <c r="M218" s="32" t="b">
        <f aca="false">FALSE()</f>
        <v>0</v>
      </c>
      <c r="N218" s="6" t="str">
        <f aca="false">IF(OR(AND(B218=2024,C218&gt;=43),AND(B218=2025,C218&lt;=13)),"Temporada 2024-25",IF(AND(B218=2025,C218&gt;=36,C218&lt;=42),"Sep-oct 2025","Resto del año"))</f>
        <v>Resto del año</v>
      </c>
    </row>
    <row r="219" customFormat="false" ht="15" hidden="false" customHeight="false" outlineLevel="0" collapsed="false">
      <c r="A219" s="7" t="s">
        <v>44</v>
      </c>
      <c r="B219" s="7" t="n">
        <v>2024</v>
      </c>
      <c r="C219" s="7" t="n">
        <v>30</v>
      </c>
      <c r="D219" s="7" t="n">
        <v>7</v>
      </c>
      <c r="E219" s="20" t="n">
        <v>51316</v>
      </c>
      <c r="F219" s="20" t="n">
        <v>54287</v>
      </c>
      <c r="G219" s="20" t="n">
        <v>461058</v>
      </c>
      <c r="H219" s="20" t="n">
        <v>445589</v>
      </c>
      <c r="I219" s="31" t="n">
        <v>0.6864</v>
      </c>
      <c r="J219" s="32" t="b">
        <f aca="false">FALSE()</f>
        <v>0</v>
      </c>
      <c r="K219" s="32" t="b">
        <f aca="false">FALSE()</f>
        <v>0</v>
      </c>
      <c r="L219" s="32" t="b">
        <f aca="false">FALSE()</f>
        <v>0</v>
      </c>
      <c r="M219" s="32" t="b">
        <f aca="false">FALSE()</f>
        <v>0</v>
      </c>
      <c r="N219" s="6" t="str">
        <f aca="false">IF(OR(AND(B219=2024,C219&gt;=43),AND(B219=2025,C219&lt;=13)),"Temporada 2024-25",IF(AND(B219=2025,C219&gt;=36,C219&lt;=42),"Sep-oct 2025","Resto del año"))</f>
        <v>Resto del año</v>
      </c>
    </row>
    <row r="220" customFormat="false" ht="15" hidden="false" customHeight="false" outlineLevel="0" collapsed="false">
      <c r="A220" s="7" t="s">
        <v>44</v>
      </c>
      <c r="B220" s="7" t="n">
        <v>2024</v>
      </c>
      <c r="C220" s="7" t="n">
        <v>31</v>
      </c>
      <c r="D220" s="7" t="n">
        <v>7</v>
      </c>
      <c r="E220" s="20" t="n">
        <v>50704</v>
      </c>
      <c r="F220" s="20" t="n">
        <v>50273</v>
      </c>
      <c r="G220" s="20" t="n">
        <v>455162</v>
      </c>
      <c r="H220" s="20" t="n">
        <v>424949</v>
      </c>
      <c r="I220" s="31" t="n">
        <v>0.6891</v>
      </c>
      <c r="J220" s="32" t="b">
        <f aca="false">FALSE()</f>
        <v>0</v>
      </c>
      <c r="K220" s="32" t="b">
        <f aca="false">FALSE()</f>
        <v>0</v>
      </c>
      <c r="L220" s="32" t="b">
        <f aca="false">FALSE()</f>
        <v>0</v>
      </c>
      <c r="M220" s="32" t="b">
        <f aca="false">FALSE()</f>
        <v>0</v>
      </c>
      <c r="N220" s="6" t="str">
        <f aca="false">IF(OR(AND(B220=2024,C220&gt;=43),AND(B220=2025,C220&lt;=13)),"Temporada 2024-25",IF(AND(B220=2025,C220&gt;=36,C220&lt;=42),"Sep-oct 2025","Resto del año"))</f>
        <v>Resto del año</v>
      </c>
    </row>
    <row r="221" customFormat="false" ht="15" hidden="false" customHeight="false" outlineLevel="0" collapsed="false">
      <c r="A221" s="7" t="s">
        <v>44</v>
      </c>
      <c r="B221" s="7" t="n">
        <v>2024</v>
      </c>
      <c r="C221" s="7" t="n">
        <v>32</v>
      </c>
      <c r="D221" s="7" t="n">
        <v>8</v>
      </c>
      <c r="E221" s="20" t="n">
        <v>49721</v>
      </c>
      <c r="F221" s="20" t="n">
        <v>49091</v>
      </c>
      <c r="G221" s="20" t="n">
        <v>436470</v>
      </c>
      <c r="H221" s="20" t="n">
        <v>403455</v>
      </c>
      <c r="I221" s="31" t="n">
        <v>0.715</v>
      </c>
      <c r="J221" s="32" t="b">
        <f aca="false">FALSE()</f>
        <v>0</v>
      </c>
      <c r="K221" s="32" t="b">
        <f aca="false">FALSE()</f>
        <v>0</v>
      </c>
      <c r="L221" s="32" t="b">
        <f aca="false">FALSE()</f>
        <v>0</v>
      </c>
      <c r="M221" s="32" t="b">
        <f aca="false">FALSE()</f>
        <v>0</v>
      </c>
      <c r="N221" s="6" t="str">
        <f aca="false">IF(OR(AND(B221=2024,C221&gt;=43),AND(B221=2025,C221&lt;=13)),"Temporada 2024-25",IF(AND(B221=2025,C221&gt;=36,C221&lt;=42),"Sep-oct 2025","Resto del año"))</f>
        <v>Resto del año</v>
      </c>
    </row>
    <row r="222" customFormat="false" ht="15" hidden="false" customHeight="false" outlineLevel="0" collapsed="false">
      <c r="A222" s="7" t="s">
        <v>44</v>
      </c>
      <c r="B222" s="7" t="n">
        <v>2024</v>
      </c>
      <c r="C222" s="7" t="n">
        <v>33</v>
      </c>
      <c r="D222" s="7" t="n">
        <v>8</v>
      </c>
      <c r="E222" s="20" t="n">
        <v>50580</v>
      </c>
      <c r="F222" s="20" t="n">
        <v>51856</v>
      </c>
      <c r="G222" s="20" t="n">
        <v>412888</v>
      </c>
      <c r="H222" s="20" t="n">
        <v>404879</v>
      </c>
      <c r="I222" s="31" t="n">
        <v>0.7401</v>
      </c>
      <c r="J222" s="32" t="b">
        <f aca="false">FALSE()</f>
        <v>0</v>
      </c>
      <c r="K222" s="32" t="b">
        <f aca="false">FALSE()</f>
        <v>0</v>
      </c>
      <c r="L222" s="32" t="b">
        <f aca="false">FALSE()</f>
        <v>0</v>
      </c>
      <c r="M222" s="32" t="b">
        <f aca="false">FALSE()</f>
        <v>0</v>
      </c>
      <c r="N222" s="6" t="str">
        <f aca="false">IF(OR(AND(B222=2024,C222&gt;=43),AND(B222=2025,C222&lt;=13)),"Temporada 2024-25",IF(AND(B222=2025,C222&gt;=36,C222&lt;=42),"Sep-oct 2025","Resto del año"))</f>
        <v>Resto del año</v>
      </c>
    </row>
    <row r="223" customFormat="false" ht="15" hidden="false" customHeight="false" outlineLevel="0" collapsed="false">
      <c r="A223" s="7" t="s">
        <v>44</v>
      </c>
      <c r="B223" s="7" t="n">
        <v>2024</v>
      </c>
      <c r="C223" s="7" t="n">
        <v>34</v>
      </c>
      <c r="D223" s="7" t="n">
        <v>8</v>
      </c>
      <c r="E223" s="20" t="n">
        <v>54870</v>
      </c>
      <c r="F223" s="20" t="n">
        <v>52731</v>
      </c>
      <c r="G223" s="20" t="n">
        <v>495624</v>
      </c>
      <c r="H223" s="20" t="n">
        <v>435026</v>
      </c>
      <c r="I223" s="31" t="n">
        <v>0.7454</v>
      </c>
      <c r="J223" s="32" t="b">
        <f aca="false">FALSE()</f>
        <v>0</v>
      </c>
      <c r="K223" s="32" t="b">
        <f aca="false">FALSE()</f>
        <v>0</v>
      </c>
      <c r="L223" s="32" t="b">
        <f aca="false">FALSE()</f>
        <v>0</v>
      </c>
      <c r="M223" s="32" t="b">
        <f aca="false">FALSE()</f>
        <v>0</v>
      </c>
      <c r="N223" s="6" t="str">
        <f aca="false">IF(OR(AND(B223=2024,C223&gt;=43),AND(B223=2025,C223&lt;=13)),"Temporada 2024-25",IF(AND(B223=2025,C223&gt;=36,C223&lt;=42),"Sep-oct 2025","Resto del año"))</f>
        <v>Resto del año</v>
      </c>
    </row>
    <row r="224" customFormat="false" ht="15" hidden="false" customHeight="false" outlineLevel="0" collapsed="false">
      <c r="A224" s="7" t="s">
        <v>44</v>
      </c>
      <c r="B224" s="7" t="n">
        <v>2024</v>
      </c>
      <c r="C224" s="7" t="n">
        <v>35</v>
      </c>
      <c r="D224" s="7" t="n">
        <v>8</v>
      </c>
      <c r="E224" s="20" t="n">
        <v>45006</v>
      </c>
      <c r="F224" s="20" t="n">
        <v>47977</v>
      </c>
      <c r="G224" s="20" t="n">
        <v>376879</v>
      </c>
      <c r="H224" s="20" t="n">
        <v>409192</v>
      </c>
      <c r="I224" s="31" t="n">
        <v>0.7423</v>
      </c>
      <c r="J224" s="32" t="b">
        <f aca="false">FALSE()</f>
        <v>0</v>
      </c>
      <c r="K224" s="32" t="b">
        <f aca="false">FALSE()</f>
        <v>0</v>
      </c>
      <c r="L224" s="32" t="b">
        <f aca="false">FALSE()</f>
        <v>0</v>
      </c>
      <c r="M224" s="32" t="b">
        <f aca="false">FALSE()</f>
        <v>0</v>
      </c>
      <c r="N224" s="6" t="str">
        <f aca="false">IF(OR(AND(B224=2024,C224&gt;=43),AND(B224=2025,C224&lt;=13)),"Temporada 2024-25",IF(AND(B224=2025,C224&gt;=36,C224&lt;=42),"Sep-oct 2025","Resto del año"))</f>
        <v>Resto del año</v>
      </c>
    </row>
    <row r="225" customFormat="false" ht="15" hidden="false" customHeight="false" outlineLevel="0" collapsed="false">
      <c r="A225" s="7" t="s">
        <v>44</v>
      </c>
      <c r="B225" s="7" t="n">
        <v>2024</v>
      </c>
      <c r="C225" s="7" t="n">
        <v>36</v>
      </c>
      <c r="D225" s="7" t="n">
        <v>9</v>
      </c>
      <c r="E225" s="20" t="n">
        <v>42501</v>
      </c>
      <c r="F225" s="20" t="n">
        <v>47788</v>
      </c>
      <c r="G225" s="20" t="n">
        <v>410386</v>
      </c>
      <c r="H225" s="20" t="n">
        <v>429543</v>
      </c>
      <c r="I225" s="31" t="n">
        <v>0.722</v>
      </c>
      <c r="J225" s="32" t="b">
        <f aca="false">FALSE()</f>
        <v>0</v>
      </c>
      <c r="K225" s="32" t="b">
        <f aca="false">FALSE()</f>
        <v>0</v>
      </c>
      <c r="L225" s="32" t="b">
        <f aca="false">FALSE()</f>
        <v>0</v>
      </c>
      <c r="M225" s="32" t="b">
        <f aca="false">FALSE()</f>
        <v>0</v>
      </c>
      <c r="N225" s="6" t="str">
        <f aca="false">IF(OR(AND(B225=2024,C225&gt;=43),AND(B225=2025,C225&lt;=13)),"Temporada 2024-25",IF(AND(B225=2025,C225&gt;=36,C225&lt;=42),"Sep-oct 2025","Resto del año"))</f>
        <v>Resto del año</v>
      </c>
    </row>
    <row r="226" customFormat="false" ht="15" hidden="false" customHeight="false" outlineLevel="0" collapsed="false">
      <c r="A226" s="7" t="s">
        <v>44</v>
      </c>
      <c r="B226" s="7" t="n">
        <v>2024</v>
      </c>
      <c r="C226" s="7" t="n">
        <v>37</v>
      </c>
      <c r="D226" s="7" t="n">
        <v>9</v>
      </c>
      <c r="E226" s="20" t="n">
        <v>54077</v>
      </c>
      <c r="F226" s="20" t="n">
        <v>50406</v>
      </c>
      <c r="G226" s="20" t="n">
        <v>416421</v>
      </c>
      <c r="H226" s="20" t="n">
        <v>422209</v>
      </c>
      <c r="I226" s="31" t="n">
        <v>0.7214</v>
      </c>
      <c r="J226" s="32" t="b">
        <f aca="false">FALSE()</f>
        <v>0</v>
      </c>
      <c r="K226" s="32" t="b">
        <f aca="false">FALSE()</f>
        <v>0</v>
      </c>
      <c r="L226" s="32" t="b">
        <f aca="false">FALSE()</f>
        <v>0</v>
      </c>
      <c r="M226" s="32" t="b">
        <f aca="false">FALSE()</f>
        <v>0</v>
      </c>
      <c r="N226" s="6" t="str">
        <f aca="false">IF(OR(AND(B226=2024,C226&gt;=43),AND(B226=2025,C226&lt;=13)),"Temporada 2024-25",IF(AND(B226=2025,C226&gt;=36,C226&lt;=42),"Sep-oct 2025","Resto del año"))</f>
        <v>Resto del año</v>
      </c>
    </row>
    <row r="227" customFormat="false" ht="15" hidden="false" customHeight="false" outlineLevel="0" collapsed="false">
      <c r="A227" s="7" t="s">
        <v>44</v>
      </c>
      <c r="B227" s="7" t="n">
        <v>2024</v>
      </c>
      <c r="C227" s="7" t="n">
        <v>38</v>
      </c>
      <c r="D227" s="7" t="n">
        <v>9</v>
      </c>
      <c r="E227" s="20" t="n">
        <v>42581</v>
      </c>
      <c r="F227" s="20" t="n">
        <v>49165</v>
      </c>
      <c r="G227" s="20" t="n">
        <v>404893</v>
      </c>
      <c r="H227" s="20" t="n">
        <v>413205</v>
      </c>
      <c r="I227" s="31" t="n">
        <v>0.726</v>
      </c>
      <c r="J227" s="32" t="b">
        <f aca="false">FALSE()</f>
        <v>0</v>
      </c>
      <c r="K227" s="32" t="b">
        <f aca="false">FALSE()</f>
        <v>0</v>
      </c>
      <c r="L227" s="32" t="b">
        <f aca="false">FALSE()</f>
        <v>0</v>
      </c>
      <c r="M227" s="32" t="b">
        <f aca="false">FALSE()</f>
        <v>0</v>
      </c>
      <c r="N227" s="6" t="str">
        <f aca="false">IF(OR(AND(B227=2024,C227&gt;=43),AND(B227=2025,C227&lt;=13)),"Temporada 2024-25",IF(AND(B227=2025,C227&gt;=36,C227&lt;=42),"Sep-oct 2025","Resto del año"))</f>
        <v>Resto del año</v>
      </c>
    </row>
    <row r="228" customFormat="false" ht="15" hidden="false" customHeight="false" outlineLevel="0" collapsed="false">
      <c r="A228" s="7" t="s">
        <v>44</v>
      </c>
      <c r="B228" s="7" t="n">
        <v>2024</v>
      </c>
      <c r="C228" s="7" t="n">
        <v>39</v>
      </c>
      <c r="D228" s="7" t="n">
        <v>9</v>
      </c>
      <c r="E228" s="20" t="n">
        <v>53314</v>
      </c>
      <c r="F228" s="20" t="n">
        <v>54991</v>
      </c>
      <c r="G228" s="20" t="n">
        <v>451959</v>
      </c>
      <c r="H228" s="20" t="n">
        <v>451471</v>
      </c>
      <c r="I228" s="31" t="n">
        <v>0.7305</v>
      </c>
      <c r="J228" s="32" t="b">
        <f aca="false">FALSE()</f>
        <v>0</v>
      </c>
      <c r="K228" s="32" t="b">
        <f aca="false">FALSE()</f>
        <v>0</v>
      </c>
      <c r="L228" s="32" t="b">
        <f aca="false">FALSE()</f>
        <v>0</v>
      </c>
      <c r="M228" s="32" t="b">
        <f aca="false">FALSE()</f>
        <v>0</v>
      </c>
      <c r="N228" s="6" t="str">
        <f aca="false">IF(OR(AND(B228=2024,C228&gt;=43),AND(B228=2025,C228&lt;=13)),"Temporada 2024-25",IF(AND(B228=2025,C228&gt;=36,C228&lt;=42),"Sep-oct 2025","Resto del año"))</f>
        <v>Resto del año</v>
      </c>
    </row>
    <row r="229" customFormat="false" ht="15" hidden="false" customHeight="false" outlineLevel="0" collapsed="false">
      <c r="A229" s="7" t="s">
        <v>44</v>
      </c>
      <c r="B229" s="7" t="n">
        <v>2024</v>
      </c>
      <c r="C229" s="7" t="n">
        <v>40</v>
      </c>
      <c r="D229" s="7" t="n">
        <v>9</v>
      </c>
      <c r="E229" s="20" t="n">
        <v>46390</v>
      </c>
      <c r="F229" s="20" t="n">
        <v>49552</v>
      </c>
      <c r="G229" s="20" t="n">
        <v>413310</v>
      </c>
      <c r="H229" s="20" t="n">
        <v>414388</v>
      </c>
      <c r="I229" s="31" t="n">
        <v>0.7375</v>
      </c>
      <c r="J229" s="32" t="b">
        <f aca="false">FALSE()</f>
        <v>0</v>
      </c>
      <c r="K229" s="32" t="b">
        <f aca="false">FALSE()</f>
        <v>0</v>
      </c>
      <c r="L229" s="32" t="b">
        <f aca="false">FALSE()</f>
        <v>0</v>
      </c>
      <c r="M229" s="32" t="b">
        <f aca="false">FALSE()</f>
        <v>0</v>
      </c>
      <c r="N229" s="6" t="str">
        <f aca="false">IF(OR(AND(B229=2024,C229&gt;=43),AND(B229=2025,C229&lt;=13)),"Temporada 2024-25",IF(AND(B229=2025,C229&gt;=36,C229&lt;=42),"Sep-oct 2025","Resto del año"))</f>
        <v>Resto del año</v>
      </c>
    </row>
    <row r="230" customFormat="false" ht="15" hidden="false" customHeight="false" outlineLevel="0" collapsed="false">
      <c r="A230" s="7" t="s">
        <v>44</v>
      </c>
      <c r="B230" s="7" t="n">
        <v>2024</v>
      </c>
      <c r="C230" s="7" t="n">
        <v>41</v>
      </c>
      <c r="D230" s="7" t="n">
        <v>10</v>
      </c>
      <c r="E230" s="20" t="n">
        <v>43600</v>
      </c>
      <c r="F230" s="20" t="n">
        <v>53844</v>
      </c>
      <c r="G230" s="20" t="n">
        <v>432510</v>
      </c>
      <c r="H230" s="20" t="n">
        <v>455213</v>
      </c>
      <c r="I230" s="31" t="n">
        <v>0.7295</v>
      </c>
      <c r="J230" s="32" t="b">
        <f aca="false">FALSE()</f>
        <v>0</v>
      </c>
      <c r="K230" s="32" t="b">
        <f aca="false">FALSE()</f>
        <v>0</v>
      </c>
      <c r="L230" s="32" t="b">
        <f aca="false">FALSE()</f>
        <v>0</v>
      </c>
      <c r="M230" s="32" t="b">
        <f aca="false">FALSE()</f>
        <v>0</v>
      </c>
      <c r="N230" s="6" t="str">
        <f aca="false">IF(OR(AND(B230=2024,C230&gt;=43),AND(B230=2025,C230&lt;=13)),"Temporada 2024-25",IF(AND(B230=2025,C230&gt;=36,C230&lt;=42),"Sep-oct 2025","Resto del año"))</f>
        <v>Resto del año</v>
      </c>
    </row>
    <row r="231" customFormat="false" ht="15" hidden="false" customHeight="false" outlineLevel="0" collapsed="false">
      <c r="A231" s="7" t="s">
        <v>44</v>
      </c>
      <c r="B231" s="7" t="n">
        <v>2024</v>
      </c>
      <c r="C231" s="7" t="n">
        <v>42</v>
      </c>
      <c r="D231" s="7" t="n">
        <v>10</v>
      </c>
      <c r="E231" s="20" t="n">
        <v>35719</v>
      </c>
      <c r="F231" s="20" t="n">
        <v>51861</v>
      </c>
      <c r="G231" s="20" t="n">
        <v>430500</v>
      </c>
      <c r="H231" s="20" t="n">
        <v>418578</v>
      </c>
      <c r="I231" s="31" t="n">
        <v>0.7388</v>
      </c>
      <c r="J231" s="32" t="b">
        <f aca="false">FALSE()</f>
        <v>0</v>
      </c>
      <c r="K231" s="32" t="b">
        <f aca="false">FALSE()</f>
        <v>0</v>
      </c>
      <c r="L231" s="32" t="b">
        <f aca="false">FALSE()</f>
        <v>0</v>
      </c>
      <c r="M231" s="32" t="b">
        <f aca="false">FALSE()</f>
        <v>0</v>
      </c>
      <c r="N231" s="6" t="str">
        <f aca="false">IF(OR(AND(B231=2024,C231&gt;=43),AND(B231=2025,C231&lt;=13)),"Temporada 2024-25",IF(AND(B231=2025,C231&gt;=36,C231&lt;=42),"Sep-oct 2025","Resto del año"))</f>
        <v>Resto del año</v>
      </c>
    </row>
    <row r="232" customFormat="false" ht="15" hidden="false" customHeight="false" outlineLevel="0" collapsed="false">
      <c r="A232" s="7" t="s">
        <v>44</v>
      </c>
      <c r="B232" s="7" t="n">
        <v>2024</v>
      </c>
      <c r="C232" s="7" t="n">
        <v>43</v>
      </c>
      <c r="D232" s="7" t="n">
        <v>10</v>
      </c>
      <c r="E232" s="20" t="n">
        <v>41619</v>
      </c>
      <c r="F232" s="20" t="n">
        <v>54465</v>
      </c>
      <c r="G232" s="20" t="n">
        <v>432576</v>
      </c>
      <c r="H232" s="20" t="n">
        <v>429800</v>
      </c>
      <c r="I232" s="31" t="n">
        <v>0.7378</v>
      </c>
      <c r="J232" s="32" t="b">
        <f aca="false">FALSE()</f>
        <v>0</v>
      </c>
      <c r="K232" s="32" t="b">
        <f aca="false">FALSE()</f>
        <v>0</v>
      </c>
      <c r="L232" s="32" t="b">
        <f aca="false">FALSE()</f>
        <v>0</v>
      </c>
      <c r="M232" s="32" t="b">
        <f aca="false">FALSE()</f>
        <v>0</v>
      </c>
      <c r="N232" s="6" t="str">
        <f aca="false">IF(OR(AND(B232=2024,C232&gt;=43),AND(B232=2025,C232&lt;=13)),"Temporada 2024-25",IF(AND(B232=2025,C232&gt;=36,C232&lt;=42),"Sep-oct 2025","Resto del año"))</f>
        <v>Temporada 2024-25</v>
      </c>
    </row>
    <row r="233" customFormat="false" ht="15" hidden="false" customHeight="false" outlineLevel="0" collapsed="false">
      <c r="A233" s="7" t="s">
        <v>44</v>
      </c>
      <c r="B233" s="7" t="n">
        <v>2024</v>
      </c>
      <c r="C233" s="7" t="n">
        <v>44</v>
      </c>
      <c r="D233" s="7" t="n">
        <v>10</v>
      </c>
      <c r="E233" s="20" t="n">
        <v>45088</v>
      </c>
      <c r="F233" s="20" t="n">
        <v>55897</v>
      </c>
      <c r="G233" s="20" t="n">
        <v>442347</v>
      </c>
      <c r="H233" s="20" t="n">
        <v>428184</v>
      </c>
      <c r="I233" s="31" t="n">
        <v>0.7613</v>
      </c>
      <c r="J233" s="32" t="b">
        <f aca="false">FALSE()</f>
        <v>0</v>
      </c>
      <c r="K233" s="32" t="b">
        <f aca="false">FALSE()</f>
        <v>0</v>
      </c>
      <c r="L233" s="32" t="b">
        <f aca="false">FALSE()</f>
        <v>0</v>
      </c>
      <c r="M233" s="32" t="b">
        <f aca="false">FALSE()</f>
        <v>0</v>
      </c>
      <c r="N233" s="6" t="str">
        <f aca="false">IF(OR(AND(B233=2024,C233&gt;=43),AND(B233=2025,C233&lt;=13)),"Temporada 2024-25",IF(AND(B233=2025,C233&gt;=36,C233&lt;=42),"Sep-oct 2025","Resto del año"))</f>
        <v>Temporada 2024-25</v>
      </c>
    </row>
    <row r="234" customFormat="false" ht="15" hidden="false" customHeight="false" outlineLevel="0" collapsed="false">
      <c r="A234" s="7" t="s">
        <v>44</v>
      </c>
      <c r="B234" s="7" t="n">
        <v>2024</v>
      </c>
      <c r="C234" s="7" t="n">
        <v>45</v>
      </c>
      <c r="D234" s="7" t="n">
        <v>11</v>
      </c>
      <c r="E234" s="20" t="n">
        <v>43213</v>
      </c>
      <c r="F234" s="20" t="n">
        <v>54930</v>
      </c>
      <c r="G234" s="20" t="n">
        <v>426147</v>
      </c>
      <c r="H234" s="20" t="n">
        <v>410702</v>
      </c>
      <c r="I234" s="31" t="n">
        <v>0.7907</v>
      </c>
      <c r="J234" s="32" t="b">
        <f aca="false">FALSE()</f>
        <v>0</v>
      </c>
      <c r="K234" s="32" t="b">
        <f aca="false">FALSE()</f>
        <v>0</v>
      </c>
      <c r="L234" s="32" t="b">
        <f aca="false">FALSE()</f>
        <v>0</v>
      </c>
      <c r="M234" s="32" t="b">
        <f aca="false">FALSE()</f>
        <v>0</v>
      </c>
      <c r="N234" s="6" t="str">
        <f aca="false">IF(OR(AND(B234=2024,C234&gt;=43),AND(B234=2025,C234&lt;=13)),"Temporada 2024-25",IF(AND(B234=2025,C234&gt;=36,C234&lt;=42),"Sep-oct 2025","Resto del año"))</f>
        <v>Temporada 2024-25</v>
      </c>
    </row>
    <row r="235" customFormat="false" ht="15" hidden="false" customHeight="false" outlineLevel="0" collapsed="false">
      <c r="A235" s="7" t="s">
        <v>44</v>
      </c>
      <c r="B235" s="7" t="n">
        <v>2024</v>
      </c>
      <c r="C235" s="7" t="n">
        <v>46</v>
      </c>
      <c r="D235" s="7" t="n">
        <v>11</v>
      </c>
      <c r="E235" s="20" t="n">
        <v>53626</v>
      </c>
      <c r="F235" s="20" t="n">
        <v>68324</v>
      </c>
      <c r="G235" s="20" t="n">
        <v>378839</v>
      </c>
      <c r="H235" s="20" t="n">
        <v>417289</v>
      </c>
      <c r="I235" s="31" t="n">
        <v>0.8597</v>
      </c>
      <c r="J235" s="32" t="b">
        <f aca="false">FALSE()</f>
        <v>0</v>
      </c>
      <c r="K235" s="32" t="b">
        <f aca="false">FALSE()</f>
        <v>0</v>
      </c>
      <c r="L235" s="32" t="b">
        <f aca="false">FALSE()</f>
        <v>0</v>
      </c>
      <c r="M235" s="32" t="b">
        <f aca="false">FALSE()</f>
        <v>0</v>
      </c>
      <c r="N235" s="6" t="str">
        <f aca="false">IF(OR(AND(B235=2024,C235&gt;=43),AND(B235=2025,C235&lt;=13)),"Temporada 2024-25",IF(AND(B235=2025,C235&gt;=36,C235&lt;=42),"Sep-oct 2025","Resto del año"))</f>
        <v>Temporada 2024-25</v>
      </c>
    </row>
    <row r="236" customFormat="false" ht="15" hidden="false" customHeight="false" outlineLevel="0" collapsed="false">
      <c r="A236" s="7" t="s">
        <v>44</v>
      </c>
      <c r="B236" s="7" t="n">
        <v>2024</v>
      </c>
      <c r="C236" s="7" t="n">
        <v>47</v>
      </c>
      <c r="D236" s="7" t="n">
        <v>11</v>
      </c>
      <c r="E236" s="20" t="n">
        <v>66533</v>
      </c>
      <c r="F236" s="20" t="n">
        <v>79799</v>
      </c>
      <c r="G236" s="20" t="n">
        <v>429355</v>
      </c>
      <c r="H236" s="20" t="n">
        <v>423469</v>
      </c>
      <c r="I236" s="31" t="n">
        <v>0.9651</v>
      </c>
      <c r="J236" s="32" t="b">
        <f aca="false">FALSE()</f>
        <v>0</v>
      </c>
      <c r="K236" s="32" t="b">
        <f aca="false">FALSE()</f>
        <v>0</v>
      </c>
      <c r="L236" s="32" t="b">
        <f aca="false">FALSE()</f>
        <v>0</v>
      </c>
      <c r="M236" s="32" t="b">
        <f aca="false">FALSE()</f>
        <v>0</v>
      </c>
      <c r="N236" s="6" t="str">
        <f aca="false">IF(OR(AND(B236=2024,C236&gt;=43),AND(B236=2025,C236&lt;=13)),"Temporada 2024-25",IF(AND(B236=2025,C236&gt;=36,C236&lt;=42),"Sep-oct 2025","Resto del año"))</f>
        <v>Temporada 2024-25</v>
      </c>
    </row>
    <row r="237" customFormat="false" ht="15" hidden="false" customHeight="false" outlineLevel="0" collapsed="false">
      <c r="A237" s="7" t="s">
        <v>44</v>
      </c>
      <c r="B237" s="7" t="n">
        <v>2024</v>
      </c>
      <c r="C237" s="7" t="n">
        <v>48</v>
      </c>
      <c r="D237" s="7" t="n">
        <v>11</v>
      </c>
      <c r="E237" s="20" t="n">
        <v>70056</v>
      </c>
      <c r="F237" s="20" t="n">
        <v>84297</v>
      </c>
      <c r="G237" s="20" t="n">
        <v>434637</v>
      </c>
      <c r="H237" s="20" t="n">
        <v>449553</v>
      </c>
      <c r="I237" s="31" t="n">
        <v>1.0716</v>
      </c>
      <c r="J237" s="32" t="b">
        <f aca="false">FALSE()</f>
        <v>0</v>
      </c>
      <c r="K237" s="32" t="b">
        <f aca="false">FALSE()</f>
        <v>0</v>
      </c>
      <c r="L237" s="32" t="b">
        <f aca="false">FALSE()</f>
        <v>0</v>
      </c>
      <c r="M237" s="32" t="b">
        <f aca="false">FALSE()</f>
        <v>0</v>
      </c>
      <c r="N237" s="6" t="str">
        <f aca="false">IF(OR(AND(B237=2024,C237&gt;=43),AND(B237=2025,C237&lt;=13)),"Temporada 2024-25",IF(AND(B237=2025,C237&gt;=36,C237&lt;=42),"Sep-oct 2025","Resto del año"))</f>
        <v>Temporada 2024-25</v>
      </c>
    </row>
    <row r="238" customFormat="false" ht="15" hidden="false" customHeight="false" outlineLevel="0" collapsed="false">
      <c r="A238" s="7" t="s">
        <v>44</v>
      </c>
      <c r="B238" s="7" t="n">
        <v>2024</v>
      </c>
      <c r="C238" s="7" t="n">
        <v>49</v>
      </c>
      <c r="D238" s="7" t="n">
        <v>12</v>
      </c>
      <c r="E238" s="20" t="n">
        <v>61077</v>
      </c>
      <c r="F238" s="20" t="n">
        <v>84127</v>
      </c>
      <c r="G238" s="20" t="n">
        <v>444647</v>
      </c>
      <c r="H238" s="20" t="n">
        <v>459460</v>
      </c>
      <c r="I238" s="31" t="n">
        <v>1.154</v>
      </c>
      <c r="J238" s="32" t="b">
        <f aca="false">FALSE()</f>
        <v>0</v>
      </c>
      <c r="K238" s="32" t="b">
        <f aca="false">FALSE()</f>
        <v>0</v>
      </c>
      <c r="L238" s="32" t="b">
        <f aca="false">FALSE()</f>
        <v>0</v>
      </c>
      <c r="M238" s="32" t="b">
        <f aca="false">FALSE()</f>
        <v>0</v>
      </c>
      <c r="N238" s="6" t="str">
        <f aca="false">IF(OR(AND(B238=2024,C238&gt;=43),AND(B238=2025,C238&lt;=13)),"Temporada 2024-25",IF(AND(B238=2025,C238&gt;=36,C238&lt;=42),"Sep-oct 2025","Resto del año"))</f>
        <v>Temporada 2024-25</v>
      </c>
    </row>
    <row r="239" customFormat="false" ht="15" hidden="false" customHeight="false" outlineLevel="0" collapsed="false">
      <c r="A239" s="7" t="s">
        <v>44</v>
      </c>
      <c r="B239" s="7" t="n">
        <v>2024</v>
      </c>
      <c r="C239" s="7" t="n">
        <v>50</v>
      </c>
      <c r="D239" s="7" t="n">
        <v>12</v>
      </c>
      <c r="E239" s="20" t="n">
        <v>64397</v>
      </c>
      <c r="F239" s="20" t="n">
        <v>75026</v>
      </c>
      <c r="G239" s="20" t="n">
        <v>470717</v>
      </c>
      <c r="H239" s="20" t="n">
        <v>456900</v>
      </c>
      <c r="I239" s="31" t="n">
        <v>1.2029</v>
      </c>
      <c r="J239" s="32" t="b">
        <f aca="false">FALSE()</f>
        <v>0</v>
      </c>
      <c r="K239" s="32" t="b">
        <f aca="false">FALSE()</f>
        <v>0</v>
      </c>
      <c r="L239" s="32" t="b">
        <f aca="false">FALSE()</f>
        <v>0</v>
      </c>
      <c r="M239" s="32" t="b">
        <f aca="false">FALSE()</f>
        <v>0</v>
      </c>
      <c r="N239" s="6" t="str">
        <f aca="false">IF(OR(AND(B239=2024,C239&gt;=43),AND(B239=2025,C239&lt;=13)),"Temporada 2024-25",IF(AND(B239=2025,C239&gt;=36,C239&lt;=42),"Sep-oct 2025","Resto del año"))</f>
        <v>Temporada 2024-25</v>
      </c>
    </row>
    <row r="240" customFormat="false" ht="15" hidden="false" customHeight="false" outlineLevel="0" collapsed="false">
      <c r="A240" s="7" t="s">
        <v>44</v>
      </c>
      <c r="B240" s="7" t="n">
        <v>2024</v>
      </c>
      <c r="C240" s="7" t="n">
        <v>51</v>
      </c>
      <c r="D240" s="7" t="n">
        <v>12</v>
      </c>
      <c r="E240" s="20" t="n">
        <v>63679</v>
      </c>
      <c r="F240" s="20" t="n">
        <v>62479</v>
      </c>
      <c r="G240" s="20" t="n">
        <v>502871</v>
      </c>
      <c r="H240" s="20" t="n">
        <v>479923</v>
      </c>
      <c r="I240" s="31" t="n">
        <v>1.195</v>
      </c>
      <c r="J240" s="32" t="b">
        <f aca="false">FALSE()</f>
        <v>0</v>
      </c>
      <c r="K240" s="32" t="b">
        <f aca="false">FALSE()</f>
        <v>0</v>
      </c>
      <c r="L240" s="32" t="b">
        <f aca="false">FALSE()</f>
        <v>0</v>
      </c>
      <c r="M240" s="32" t="b">
        <f aca="false">FALSE()</f>
        <v>0</v>
      </c>
      <c r="N240" s="6" t="str">
        <f aca="false">IF(OR(AND(B240=2024,C240&gt;=43),AND(B240=2025,C240&lt;=13)),"Temporada 2024-25",IF(AND(B240=2025,C240&gt;=36,C240&lt;=42),"Sep-oct 2025","Resto del año"))</f>
        <v>Temporada 2024-25</v>
      </c>
    </row>
    <row r="241" customFormat="false" ht="15" hidden="false" customHeight="false" outlineLevel="0" collapsed="false">
      <c r="A241" s="7" t="s">
        <v>44</v>
      </c>
      <c r="B241" s="7" t="n">
        <v>2024</v>
      </c>
      <c r="C241" s="7" t="n">
        <v>52</v>
      </c>
      <c r="D241" s="7" t="n">
        <v>12</v>
      </c>
      <c r="E241" s="20" t="n">
        <v>51553</v>
      </c>
      <c r="F241" s="20" t="n">
        <v>51850</v>
      </c>
      <c r="G241" s="20" t="n">
        <v>493916</v>
      </c>
      <c r="H241" s="20" t="n">
        <v>482881</v>
      </c>
      <c r="I241" s="31" t="n">
        <v>1.14</v>
      </c>
      <c r="J241" s="32" t="b">
        <f aca="false">FALSE()</f>
        <v>0</v>
      </c>
      <c r="K241" s="32" t="b">
        <f aca="false">FALSE()</f>
        <v>0</v>
      </c>
      <c r="L241" s="32" t="b">
        <f aca="false">FALSE()</f>
        <v>0</v>
      </c>
      <c r="M241" s="32" t="b">
        <f aca="false">FALSE()</f>
        <v>0</v>
      </c>
      <c r="N241" s="6" t="str">
        <f aca="false">IF(OR(AND(B241=2024,C241&gt;=43),AND(B241=2025,C241&lt;=13)),"Temporada 2024-25",IF(AND(B241=2025,C241&gt;=36,C241&lt;=42),"Sep-oct 2025","Resto del año"))</f>
        <v>Temporada 2024-25</v>
      </c>
    </row>
    <row r="242" customFormat="false" ht="15" hidden="false" customHeight="false" outlineLevel="0" collapsed="false">
      <c r="A242" s="7" t="s">
        <v>44</v>
      </c>
      <c r="B242" s="7" t="n">
        <v>2025</v>
      </c>
      <c r="C242" s="7" t="n">
        <v>1</v>
      </c>
      <c r="D242" s="7" t="n">
        <v>12</v>
      </c>
      <c r="E242" s="20" t="n">
        <v>36155</v>
      </c>
      <c r="F242" s="20" t="n">
        <v>35381</v>
      </c>
      <c r="G242" s="20" t="n">
        <v>441443</v>
      </c>
      <c r="H242" s="20" t="n">
        <v>432352</v>
      </c>
      <c r="I242" s="31" t="n">
        <v>1.0476</v>
      </c>
      <c r="J242" s="32" t="b">
        <f aca="false">FALSE()</f>
        <v>0</v>
      </c>
      <c r="K242" s="32" t="b">
        <f aca="false">FALSE()</f>
        <v>0</v>
      </c>
      <c r="L242" s="32" t="b">
        <f aca="false">FALSE()</f>
        <v>0</v>
      </c>
      <c r="M242" s="32" t="b">
        <f aca="false">FALSE()</f>
        <v>0</v>
      </c>
      <c r="N242" s="6" t="str">
        <f aca="false">IF(OR(AND(B242=2024,C242&gt;=43),AND(B242=2025,C242&lt;=13)),"Temporada 2024-25",IF(AND(B242=2025,C242&gt;=36,C242&lt;=42),"Sep-oct 2025","Resto del año"))</f>
        <v>Temporada 2024-25</v>
      </c>
    </row>
    <row r="243" customFormat="false" ht="15" hidden="false" customHeight="false" outlineLevel="0" collapsed="false">
      <c r="A243" s="7" t="s">
        <v>44</v>
      </c>
      <c r="B243" s="7" t="n">
        <v>2025</v>
      </c>
      <c r="C243" s="7" t="n">
        <v>2</v>
      </c>
      <c r="D243" s="7" t="n">
        <v>1</v>
      </c>
      <c r="E243" s="20" t="n">
        <v>26592</v>
      </c>
      <c r="F243" s="20" t="n">
        <v>29070</v>
      </c>
      <c r="G243" s="20" t="n">
        <v>420272</v>
      </c>
      <c r="H243" s="20" t="n">
        <v>419328</v>
      </c>
      <c r="I243" s="31" t="n">
        <v>0.9459</v>
      </c>
      <c r="J243" s="32" t="b">
        <f aca="false">FALSE()</f>
        <v>0</v>
      </c>
      <c r="K243" s="32" t="b">
        <f aca="false">FALSE()</f>
        <v>0</v>
      </c>
      <c r="L243" s="32" t="b">
        <f aca="false">FALSE()</f>
        <v>0</v>
      </c>
      <c r="M243" s="32" t="b">
        <f aca="false">FALSE()</f>
        <v>0</v>
      </c>
      <c r="N243" s="6" t="str">
        <f aca="false">IF(OR(AND(B243=2024,C243&gt;=43),AND(B243=2025,C243&lt;=13)),"Temporada 2024-25",IF(AND(B243=2025,C243&gt;=36,C243&lt;=42),"Sep-oct 2025","Resto del año"))</f>
        <v>Temporada 2024-25</v>
      </c>
    </row>
    <row r="244" customFormat="false" ht="15" hidden="false" customHeight="false" outlineLevel="0" collapsed="false">
      <c r="A244" s="7" t="s">
        <v>44</v>
      </c>
      <c r="B244" s="7" t="n">
        <v>2025</v>
      </c>
      <c r="C244" s="7" t="n">
        <v>3</v>
      </c>
      <c r="D244" s="7" t="n">
        <v>1</v>
      </c>
      <c r="E244" s="20" t="n">
        <v>27904</v>
      </c>
      <c r="F244" s="20" t="n">
        <v>27144</v>
      </c>
      <c r="G244" s="20" t="n">
        <v>445513</v>
      </c>
      <c r="H244" s="20" t="n">
        <v>424766</v>
      </c>
      <c r="I244" s="31" t="n">
        <v>0.854</v>
      </c>
      <c r="J244" s="32" t="b">
        <f aca="false">FALSE()</f>
        <v>0</v>
      </c>
      <c r="K244" s="32" t="b">
        <f aca="false">FALSE()</f>
        <v>0</v>
      </c>
      <c r="L244" s="32" t="b">
        <f aca="false">FALSE()</f>
        <v>0</v>
      </c>
      <c r="M244" s="32" t="b">
        <f aca="false">FALSE()</f>
        <v>0</v>
      </c>
      <c r="N244" s="6" t="str">
        <f aca="false">IF(OR(AND(B244=2024,C244&gt;=43),AND(B244=2025,C244&lt;=13)),"Temporada 2024-25",IF(AND(B244=2025,C244&gt;=36,C244&lt;=42),"Sep-oct 2025","Resto del año"))</f>
        <v>Temporada 2024-25</v>
      </c>
    </row>
    <row r="245" customFormat="false" ht="15" hidden="false" customHeight="false" outlineLevel="0" collapsed="false">
      <c r="A245" s="7" t="s">
        <v>44</v>
      </c>
      <c r="B245" s="7" t="n">
        <v>2025</v>
      </c>
      <c r="C245" s="7" t="n">
        <v>4</v>
      </c>
      <c r="D245" s="7" t="n">
        <v>1</v>
      </c>
      <c r="E245" s="20" t="n">
        <v>23341</v>
      </c>
      <c r="F245" s="20" t="n">
        <v>28853</v>
      </c>
      <c r="G245" s="20" t="n">
        <v>415726</v>
      </c>
      <c r="H245" s="20" t="n">
        <v>422993</v>
      </c>
      <c r="I245" s="31" t="n">
        <v>0.7679</v>
      </c>
      <c r="J245" s="32" t="b">
        <f aca="false">FALSE()</f>
        <v>0</v>
      </c>
      <c r="K245" s="32" t="b">
        <f aca="false">FALSE()</f>
        <v>0</v>
      </c>
      <c r="L245" s="32" t="b">
        <f aca="false">FALSE()</f>
        <v>0</v>
      </c>
      <c r="M245" s="32" t="b">
        <f aca="false">FALSE()</f>
        <v>0</v>
      </c>
      <c r="N245" s="6" t="str">
        <f aca="false">IF(OR(AND(B245=2024,C245&gt;=43),AND(B245=2025,C245&lt;=13)),"Temporada 2024-25",IF(AND(B245=2025,C245&gt;=36,C245&lt;=42),"Sep-oct 2025","Resto del año"))</f>
        <v>Temporada 2024-25</v>
      </c>
    </row>
    <row r="246" customFormat="false" ht="15" hidden="false" customHeight="false" outlineLevel="0" collapsed="false">
      <c r="A246" s="7" t="s">
        <v>44</v>
      </c>
      <c r="B246" s="7" t="n">
        <v>2025</v>
      </c>
      <c r="C246" s="7" t="n">
        <v>5</v>
      </c>
      <c r="D246" s="7" t="n">
        <v>1</v>
      </c>
      <c r="E246" s="20" t="n">
        <v>40200</v>
      </c>
      <c r="F246" s="20" t="n">
        <v>37486</v>
      </c>
      <c r="G246" s="20" t="n">
        <v>439906</v>
      </c>
      <c r="H246" s="20" t="n">
        <v>443986</v>
      </c>
      <c r="I246" s="31" t="n">
        <v>0.7053</v>
      </c>
      <c r="J246" s="32" t="b">
        <f aca="false">FALSE()</f>
        <v>0</v>
      </c>
      <c r="K246" s="32" t="b">
        <f aca="false">FALSE()</f>
        <v>0</v>
      </c>
      <c r="L246" s="32" t="b">
        <f aca="false">FALSE()</f>
        <v>0</v>
      </c>
      <c r="M246" s="32" t="b">
        <f aca="false">FALSE()</f>
        <v>0</v>
      </c>
      <c r="N246" s="6" t="str">
        <f aca="false">IF(OR(AND(B246=2024,C246&gt;=43),AND(B246=2025,C246&lt;=13)),"Temporada 2024-25",IF(AND(B246=2025,C246&gt;=36,C246&lt;=42),"Sep-oct 2025","Resto del año"))</f>
        <v>Temporada 2024-25</v>
      </c>
    </row>
    <row r="247" customFormat="false" ht="15" hidden="false" customHeight="false" outlineLevel="0" collapsed="false">
      <c r="A247" s="7" t="s">
        <v>44</v>
      </c>
      <c r="B247" s="7" t="n">
        <v>2025</v>
      </c>
      <c r="C247" s="7" t="n">
        <v>6</v>
      </c>
      <c r="D247" s="7" t="n">
        <v>2</v>
      </c>
      <c r="E247" s="20" t="n">
        <v>38922</v>
      </c>
      <c r="F247" s="20" t="n">
        <v>43188</v>
      </c>
      <c r="G247" s="20" t="n">
        <v>453444</v>
      </c>
      <c r="H247" s="20" t="n">
        <v>444631</v>
      </c>
      <c r="I247" s="31" t="n">
        <v>0.6779</v>
      </c>
      <c r="J247" s="32" t="b">
        <f aca="false">FALSE()</f>
        <v>0</v>
      </c>
      <c r="K247" s="32" t="b">
        <f aca="false">FALSE()</f>
        <v>0</v>
      </c>
      <c r="L247" s="32" t="b">
        <f aca="false">FALSE()</f>
        <v>0</v>
      </c>
      <c r="M247" s="32" t="b">
        <f aca="false">FALSE()</f>
        <v>0</v>
      </c>
      <c r="N247" s="6" t="str">
        <f aca="false">IF(OR(AND(B247=2024,C247&gt;=43),AND(B247=2025,C247&lt;=13)),"Temporada 2024-25",IF(AND(B247=2025,C247&gt;=36,C247&lt;=42),"Sep-oct 2025","Resto del año"))</f>
        <v>Temporada 2024-25</v>
      </c>
    </row>
    <row r="248" customFormat="false" ht="15" hidden="false" customHeight="false" outlineLevel="0" collapsed="false">
      <c r="A248" s="7" t="s">
        <v>44</v>
      </c>
      <c r="B248" s="7" t="n">
        <v>2025</v>
      </c>
      <c r="C248" s="7" t="n">
        <v>7</v>
      </c>
      <c r="D248" s="7" t="n">
        <v>2</v>
      </c>
      <c r="E248" s="20" t="n">
        <v>55733</v>
      </c>
      <c r="F248" s="20" t="n">
        <v>52103</v>
      </c>
      <c r="G248" s="20" t="n">
        <v>482884</v>
      </c>
      <c r="H248" s="20" t="n">
        <v>451088</v>
      </c>
      <c r="I248" s="31" t="n">
        <v>0.6735</v>
      </c>
      <c r="J248" s="32" t="b">
        <f aca="false">FALSE()</f>
        <v>0</v>
      </c>
      <c r="K248" s="32" t="b">
        <f aca="false">FALSE()</f>
        <v>0</v>
      </c>
      <c r="L248" s="32" t="b">
        <f aca="false">FALSE()</f>
        <v>0</v>
      </c>
      <c r="M248" s="32" t="b">
        <f aca="false">FALSE()</f>
        <v>0</v>
      </c>
      <c r="N248" s="6" t="str">
        <f aca="false">IF(OR(AND(B248=2024,C248&gt;=43),AND(B248=2025,C248&lt;=13)),"Temporada 2024-25",IF(AND(B248=2025,C248&gt;=36,C248&lt;=42),"Sep-oct 2025","Resto del año"))</f>
        <v>Temporada 2024-25</v>
      </c>
    </row>
    <row r="249" customFormat="false" ht="15" hidden="false" customHeight="false" outlineLevel="0" collapsed="false">
      <c r="A249" s="7" t="s">
        <v>44</v>
      </c>
      <c r="B249" s="7" t="n">
        <v>2025</v>
      </c>
      <c r="C249" s="7" t="n">
        <v>8</v>
      </c>
      <c r="D249" s="7" t="n">
        <v>2</v>
      </c>
      <c r="E249" s="20" t="n">
        <v>57741</v>
      </c>
      <c r="F249" s="20" t="n">
        <v>52484</v>
      </c>
      <c r="G249" s="20" t="n">
        <v>483233</v>
      </c>
      <c r="H249" s="20" t="n">
        <v>465359</v>
      </c>
      <c r="I249" s="31" t="n">
        <v>0.6783</v>
      </c>
      <c r="J249" s="32" t="b">
        <f aca="false">FALSE()</f>
        <v>0</v>
      </c>
      <c r="K249" s="32" t="b">
        <f aca="false">FALSE()</f>
        <v>0</v>
      </c>
      <c r="L249" s="32" t="b">
        <f aca="false">FALSE()</f>
        <v>0</v>
      </c>
      <c r="M249" s="32" t="b">
        <f aca="false">FALSE()</f>
        <v>0</v>
      </c>
      <c r="N249" s="6" t="str">
        <f aca="false">IF(OR(AND(B249=2024,C249&gt;=43),AND(B249=2025,C249&lt;=13)),"Temporada 2024-25",IF(AND(B249=2025,C249&gt;=36,C249&lt;=42),"Sep-oct 2025","Resto del año"))</f>
        <v>Temporada 2024-25</v>
      </c>
    </row>
    <row r="250" customFormat="false" ht="15" hidden="false" customHeight="false" outlineLevel="0" collapsed="false">
      <c r="A250" s="7" t="s">
        <v>44</v>
      </c>
      <c r="B250" s="7" t="n">
        <v>2025</v>
      </c>
      <c r="C250" s="7" t="n">
        <v>9</v>
      </c>
      <c r="D250" s="7" t="n">
        <v>2</v>
      </c>
      <c r="E250" s="20" t="n">
        <v>50817</v>
      </c>
      <c r="F250" s="20" t="n">
        <v>59692</v>
      </c>
      <c r="G250" s="20" t="n">
        <v>502858</v>
      </c>
      <c r="H250" s="20" t="n">
        <v>511586</v>
      </c>
      <c r="I250" s="31" t="n">
        <v>0.6851</v>
      </c>
      <c r="J250" s="32" t="b">
        <f aca="false">FALSE()</f>
        <v>0</v>
      </c>
      <c r="K250" s="32" t="b">
        <f aca="false">FALSE()</f>
        <v>0</v>
      </c>
      <c r="L250" s="32" t="b">
        <f aca="false">FALSE()</f>
        <v>0</v>
      </c>
      <c r="M250" s="32" t="b">
        <f aca="false">FALSE()</f>
        <v>0</v>
      </c>
      <c r="N250" s="6" t="str">
        <f aca="false">IF(OR(AND(B250=2024,C250&gt;=43),AND(B250=2025,C250&lt;=13)),"Temporada 2024-25",IF(AND(B250=2025,C250&gt;=36,C250&lt;=42),"Sep-oct 2025","Resto del año"))</f>
        <v>Temporada 2024-25</v>
      </c>
    </row>
    <row r="251" customFormat="false" ht="15" hidden="false" customHeight="false" outlineLevel="0" collapsed="false">
      <c r="A251" s="7" t="s">
        <v>44</v>
      </c>
      <c r="B251" s="7" t="n">
        <v>2025</v>
      </c>
      <c r="C251" s="7" t="n">
        <v>10</v>
      </c>
      <c r="D251" s="7" t="n">
        <v>3</v>
      </c>
      <c r="E251" s="20" t="n">
        <v>56557</v>
      </c>
      <c r="F251" s="20" t="n">
        <v>59310</v>
      </c>
      <c r="G251" s="20" t="n">
        <v>477476</v>
      </c>
      <c r="H251" s="20" t="n">
        <v>475179</v>
      </c>
      <c r="I251" s="31" t="n">
        <v>0.7035</v>
      </c>
      <c r="J251" s="32" t="b">
        <f aca="false">FALSE()</f>
        <v>0</v>
      </c>
      <c r="K251" s="32" t="b">
        <f aca="false">FALSE()</f>
        <v>0</v>
      </c>
      <c r="L251" s="32" t="b">
        <f aca="false">FALSE()</f>
        <v>0</v>
      </c>
      <c r="M251" s="32" t="b">
        <f aca="false">FALSE()</f>
        <v>0</v>
      </c>
      <c r="N251" s="6" t="str">
        <f aca="false">IF(OR(AND(B251=2024,C251&gt;=43),AND(B251=2025,C251&lt;=13)),"Temporada 2024-25",IF(AND(B251=2025,C251&gt;=36,C251&lt;=42),"Sep-oct 2025","Resto del año"))</f>
        <v>Temporada 2024-25</v>
      </c>
    </row>
    <row r="252" customFormat="false" ht="15" hidden="false" customHeight="false" outlineLevel="0" collapsed="false">
      <c r="A252" s="7" t="s">
        <v>44</v>
      </c>
      <c r="B252" s="7" t="n">
        <v>2025</v>
      </c>
      <c r="C252" s="7" t="n">
        <v>11</v>
      </c>
      <c r="D252" s="7" t="n">
        <v>3</v>
      </c>
      <c r="E252" s="20" t="n">
        <v>52919</v>
      </c>
      <c r="F252" s="20" t="n">
        <v>55319</v>
      </c>
      <c r="G252" s="20" t="n">
        <v>495409</v>
      </c>
      <c r="H252" s="20" t="n">
        <v>473771</v>
      </c>
      <c r="I252" s="31" t="n">
        <v>0.7064</v>
      </c>
      <c r="J252" s="32" t="b">
        <f aca="false">FALSE()</f>
        <v>0</v>
      </c>
      <c r="K252" s="32" t="b">
        <f aca="false">FALSE()</f>
        <v>0</v>
      </c>
      <c r="L252" s="32" t="b">
        <f aca="false">FALSE()</f>
        <v>0</v>
      </c>
      <c r="M252" s="32" t="b">
        <f aca="false">FALSE()</f>
        <v>0</v>
      </c>
      <c r="N252" s="6" t="str">
        <f aca="false">IF(OR(AND(B252=2024,C252&gt;=43),AND(B252=2025,C252&lt;=13)),"Temporada 2024-25",IF(AND(B252=2025,C252&gt;=36,C252&lt;=42),"Sep-oct 2025","Resto del año"))</f>
        <v>Temporada 2024-25</v>
      </c>
    </row>
    <row r="253" customFormat="false" ht="15" hidden="false" customHeight="false" outlineLevel="0" collapsed="false">
      <c r="A253" s="7" t="s">
        <v>44</v>
      </c>
      <c r="B253" s="7" t="n">
        <v>2025</v>
      </c>
      <c r="C253" s="7" t="n">
        <v>12</v>
      </c>
      <c r="D253" s="7" t="n">
        <v>3</v>
      </c>
      <c r="E253" s="20" t="n">
        <v>45921</v>
      </c>
      <c r="F253" s="20" t="n">
        <v>52225</v>
      </c>
      <c r="G253" s="20" t="n">
        <v>478031</v>
      </c>
      <c r="H253" s="20" t="n">
        <v>436052</v>
      </c>
      <c r="I253" s="31" t="n">
        <v>0.7281</v>
      </c>
      <c r="J253" s="32" t="b">
        <f aca="false">FALSE()</f>
        <v>0</v>
      </c>
      <c r="K253" s="32" t="b">
        <f aca="false">FALSE()</f>
        <v>0</v>
      </c>
      <c r="L253" s="32" t="b">
        <f aca="false">FALSE()</f>
        <v>0</v>
      </c>
      <c r="M253" s="32" t="b">
        <f aca="false">FALSE()</f>
        <v>0</v>
      </c>
      <c r="N253" s="6" t="str">
        <f aca="false">IF(OR(AND(B253=2024,C253&gt;=43),AND(B253=2025,C253&lt;=13)),"Temporada 2024-25",IF(AND(B253=2025,C253&gt;=36,C253&lt;=42),"Sep-oct 2025","Resto del año"))</f>
        <v>Temporada 2024-25</v>
      </c>
    </row>
    <row r="254" customFormat="false" ht="15" hidden="false" customHeight="false" outlineLevel="0" collapsed="false">
      <c r="A254" s="7" t="s">
        <v>44</v>
      </c>
      <c r="B254" s="7" t="n">
        <v>2025</v>
      </c>
      <c r="C254" s="7" t="n">
        <v>13</v>
      </c>
      <c r="D254" s="7" t="n">
        <v>3</v>
      </c>
      <c r="E254" s="20" t="n">
        <v>56235</v>
      </c>
      <c r="F254" s="20" t="n">
        <v>57580</v>
      </c>
      <c r="G254" s="20" t="n">
        <v>495112</v>
      </c>
      <c r="H254" s="20" t="n">
        <v>500898</v>
      </c>
      <c r="I254" s="31" t="n">
        <v>0.7242</v>
      </c>
      <c r="J254" s="32" t="b">
        <f aca="false">FALSE()</f>
        <v>0</v>
      </c>
      <c r="K254" s="32" t="b">
        <f aca="false">FALSE()</f>
        <v>0</v>
      </c>
      <c r="L254" s="32" t="b">
        <f aca="false">FALSE()</f>
        <v>0</v>
      </c>
      <c r="M254" s="32" t="b">
        <f aca="false">FALSE()</f>
        <v>0</v>
      </c>
      <c r="N254" s="6" t="str">
        <f aca="false">IF(OR(AND(B254=2024,C254&gt;=43),AND(B254=2025,C254&lt;=13)),"Temporada 2024-25",IF(AND(B254=2025,C254&gt;=36,C254&lt;=42),"Sep-oct 2025","Resto del año"))</f>
        <v>Temporada 2024-25</v>
      </c>
    </row>
    <row r="255" customFormat="false" ht="15" hidden="false" customHeight="false" outlineLevel="0" collapsed="false">
      <c r="A255" s="7" t="s">
        <v>44</v>
      </c>
      <c r="B255" s="7" t="n">
        <v>2025</v>
      </c>
      <c r="C255" s="7" t="n">
        <v>14</v>
      </c>
      <c r="D255" s="7" t="n">
        <v>3</v>
      </c>
      <c r="E255" s="20" t="n">
        <v>50924</v>
      </c>
      <c r="F255" s="20" t="n">
        <v>56010</v>
      </c>
      <c r="G255" s="20" t="n">
        <v>472474</v>
      </c>
      <c r="H255" s="20" t="n">
        <v>460946</v>
      </c>
      <c r="I255" s="31" t="n">
        <v>0.7322</v>
      </c>
      <c r="J255" s="32" t="b">
        <f aca="false">FALSE()</f>
        <v>0</v>
      </c>
      <c r="K255" s="32" t="b">
        <f aca="false">FALSE()</f>
        <v>0</v>
      </c>
      <c r="L255" s="32" t="b">
        <f aca="false">FALSE()</f>
        <v>0</v>
      </c>
      <c r="M255" s="32" t="b">
        <f aca="false">FALSE()</f>
        <v>0</v>
      </c>
      <c r="N255" s="6" t="str">
        <f aca="false">IF(OR(AND(B255=2024,C255&gt;=43),AND(B255=2025,C255&lt;=13)),"Temporada 2024-25",IF(AND(B255=2025,C255&gt;=36,C255&lt;=42),"Sep-oct 2025","Resto del año"))</f>
        <v>Resto del año</v>
      </c>
    </row>
    <row r="256" customFormat="false" ht="15" hidden="false" customHeight="false" outlineLevel="0" collapsed="false">
      <c r="A256" s="7" t="s">
        <v>44</v>
      </c>
      <c r="B256" s="7" t="n">
        <v>2025</v>
      </c>
      <c r="C256" s="7" t="n">
        <v>15</v>
      </c>
      <c r="D256" s="7" t="n">
        <v>4</v>
      </c>
      <c r="E256" s="20" t="n">
        <v>58647</v>
      </c>
      <c r="F256" s="20" t="n">
        <v>58637</v>
      </c>
      <c r="G256" s="20" t="n">
        <v>475281</v>
      </c>
      <c r="H256" s="20" t="n">
        <v>457392</v>
      </c>
      <c r="I256" s="31" t="n">
        <v>0.7506</v>
      </c>
      <c r="J256" s="32" t="b">
        <f aca="false">FALSE()</f>
        <v>0</v>
      </c>
      <c r="K256" s="32" t="b">
        <f aca="false">FALSE()</f>
        <v>0</v>
      </c>
      <c r="L256" s="32" t="b">
        <f aca="false">FALSE()</f>
        <v>0</v>
      </c>
      <c r="M256" s="32" t="b">
        <f aca="false">FALSE()</f>
        <v>0</v>
      </c>
      <c r="N256" s="6" t="str">
        <f aca="false">IF(OR(AND(B256=2024,C256&gt;=43),AND(B256=2025,C256&lt;=13)),"Temporada 2024-25",IF(AND(B256=2025,C256&gt;=36,C256&lt;=42),"Sep-oct 2025","Resto del año"))</f>
        <v>Resto del año</v>
      </c>
    </row>
    <row r="257" customFormat="false" ht="15" hidden="false" customHeight="false" outlineLevel="0" collapsed="false">
      <c r="A257" s="7" t="s">
        <v>44</v>
      </c>
      <c r="B257" s="7" t="n">
        <v>2025</v>
      </c>
      <c r="C257" s="7" t="n">
        <v>16</v>
      </c>
      <c r="D257" s="7" t="n">
        <v>4</v>
      </c>
      <c r="E257" s="20" t="n">
        <v>56770</v>
      </c>
      <c r="F257" s="20" t="n">
        <v>55469</v>
      </c>
      <c r="G257" s="20" t="n">
        <v>452131</v>
      </c>
      <c r="H257" s="20" t="n">
        <v>460259</v>
      </c>
      <c r="I257" s="31" t="n">
        <v>0.7496</v>
      </c>
      <c r="J257" s="32" t="b">
        <f aca="false">FALSE()</f>
        <v>0</v>
      </c>
      <c r="K257" s="32" t="b">
        <f aca="false">FALSE()</f>
        <v>0</v>
      </c>
      <c r="L257" s="32" t="b">
        <f aca="false">FALSE()</f>
        <v>0</v>
      </c>
      <c r="M257" s="32" t="b">
        <f aca="false">FALSE()</f>
        <v>0</v>
      </c>
      <c r="N257" s="6" t="str">
        <f aca="false">IF(OR(AND(B257=2024,C257&gt;=43),AND(B257=2025,C257&lt;=13)),"Temporada 2024-25",IF(AND(B257=2025,C257&gt;=36,C257&lt;=42),"Sep-oct 2025","Resto del año"))</f>
        <v>Resto del año</v>
      </c>
    </row>
    <row r="258" customFormat="false" ht="15" hidden="false" customHeight="false" outlineLevel="0" collapsed="false">
      <c r="A258" s="7" t="s">
        <v>44</v>
      </c>
      <c r="B258" s="7" t="n">
        <v>2025</v>
      </c>
      <c r="C258" s="7" t="n">
        <v>17</v>
      </c>
      <c r="D258" s="7" t="n">
        <v>4</v>
      </c>
      <c r="E258" s="20" t="n">
        <v>60083</v>
      </c>
      <c r="F258" s="20" t="n">
        <v>58818</v>
      </c>
      <c r="G258" s="20" t="n">
        <v>496621</v>
      </c>
      <c r="H258" s="20" t="n">
        <v>475814</v>
      </c>
      <c r="I258" s="31" t="n">
        <v>0.7568</v>
      </c>
      <c r="J258" s="32" t="b">
        <f aca="false">FALSE()</f>
        <v>0</v>
      </c>
      <c r="K258" s="32" t="b">
        <f aca="false">FALSE()</f>
        <v>0</v>
      </c>
      <c r="L258" s="32" t="b">
        <f aca="false">FALSE()</f>
        <v>0</v>
      </c>
      <c r="M258" s="32" t="b">
        <f aca="false">FALSE()</f>
        <v>0</v>
      </c>
      <c r="N258" s="6" t="str">
        <f aca="false">IF(OR(AND(B258=2024,C258&gt;=43),AND(B258=2025,C258&lt;=13)),"Temporada 2024-25",IF(AND(B258=2025,C258&gt;=36,C258&lt;=42),"Sep-oct 2025","Resto del año"))</f>
        <v>Resto del año</v>
      </c>
    </row>
    <row r="259" customFormat="false" ht="15" hidden="false" customHeight="false" outlineLevel="0" collapsed="false">
      <c r="A259" s="7" t="s">
        <v>44</v>
      </c>
      <c r="B259" s="7" t="n">
        <v>2025</v>
      </c>
      <c r="C259" s="7" t="n">
        <v>18</v>
      </c>
      <c r="D259" s="7" t="n">
        <v>4</v>
      </c>
      <c r="E259" s="20" t="n">
        <v>52671</v>
      </c>
      <c r="F259" s="20" t="n">
        <v>55908</v>
      </c>
      <c r="G259" s="20" t="n">
        <v>471085</v>
      </c>
      <c r="H259" s="20" t="n">
        <v>467578</v>
      </c>
      <c r="I259" s="31" t="n">
        <v>0.7689</v>
      </c>
      <c r="J259" s="32" t="b">
        <f aca="false">FALSE()</f>
        <v>0</v>
      </c>
      <c r="K259" s="32" t="b">
        <f aca="false">FALSE()</f>
        <v>0</v>
      </c>
      <c r="L259" s="32" t="b">
        <f aca="false">FALSE()</f>
        <v>0</v>
      </c>
      <c r="M259" s="32" t="b">
        <f aca="false">FALSE()</f>
        <v>0</v>
      </c>
      <c r="N259" s="6" t="str">
        <f aca="false">IF(OR(AND(B259=2024,C259&gt;=43),AND(B259=2025,C259&lt;=13)),"Temporada 2024-25",IF(AND(B259=2025,C259&gt;=36,C259&lt;=42),"Sep-oct 2025","Resto del año"))</f>
        <v>Resto del año</v>
      </c>
    </row>
    <row r="260" customFormat="false" ht="15" hidden="false" customHeight="false" outlineLevel="0" collapsed="false">
      <c r="A260" s="7" t="s">
        <v>44</v>
      </c>
      <c r="B260" s="7" t="n">
        <v>2025</v>
      </c>
      <c r="C260" s="7" t="n">
        <v>19</v>
      </c>
      <c r="D260" s="7" t="n">
        <v>5</v>
      </c>
      <c r="E260" s="20" t="n">
        <v>57002</v>
      </c>
      <c r="F260" s="20" t="n">
        <v>54061</v>
      </c>
      <c r="G260" s="20" t="n">
        <v>475092</v>
      </c>
      <c r="H260" s="20" t="n">
        <v>479253</v>
      </c>
      <c r="I260" s="31" t="n">
        <v>0.7469</v>
      </c>
      <c r="J260" s="32" t="b">
        <f aca="false">FALSE()</f>
        <v>0</v>
      </c>
      <c r="K260" s="32" t="b">
        <f aca="false">FALSE()</f>
        <v>0</v>
      </c>
      <c r="L260" s="32" t="b">
        <f aca="false">FALSE()</f>
        <v>0</v>
      </c>
      <c r="M260" s="32" t="b">
        <f aca="false">FALSE()</f>
        <v>0</v>
      </c>
      <c r="N260" s="6" t="str">
        <f aca="false">IF(OR(AND(B260=2024,C260&gt;=43),AND(B260=2025,C260&lt;=13)),"Temporada 2024-25",IF(AND(B260=2025,C260&gt;=36,C260&lt;=42),"Sep-oct 2025","Resto del año"))</f>
        <v>Resto del año</v>
      </c>
    </row>
    <row r="261" customFormat="false" ht="15" hidden="false" customHeight="false" outlineLevel="0" collapsed="false">
      <c r="A261" s="7" t="s">
        <v>44</v>
      </c>
      <c r="B261" s="7" t="n">
        <v>2025</v>
      </c>
      <c r="C261" s="7" t="n">
        <v>20</v>
      </c>
      <c r="D261" s="7" t="n">
        <v>5</v>
      </c>
      <c r="E261" s="20" t="n">
        <v>53144</v>
      </c>
      <c r="F261" s="20" t="n">
        <v>52217</v>
      </c>
      <c r="G261" s="20" t="n">
        <v>448256</v>
      </c>
      <c r="H261" s="20" t="n">
        <v>452874</v>
      </c>
      <c r="I261" s="31" t="n">
        <v>0.7341</v>
      </c>
      <c r="J261" s="32" t="b">
        <f aca="false">FALSE()</f>
        <v>0</v>
      </c>
      <c r="K261" s="32" t="b">
        <f aca="false">FALSE()</f>
        <v>0</v>
      </c>
      <c r="L261" s="32" t="b">
        <f aca="false">FALSE()</f>
        <v>0</v>
      </c>
      <c r="M261" s="32" t="b">
        <f aca="false">FALSE()</f>
        <v>0</v>
      </c>
      <c r="N261" s="6" t="str">
        <f aca="false">IF(OR(AND(B261=2024,C261&gt;=43),AND(B261=2025,C261&lt;=13)),"Temporada 2024-25",IF(AND(B261=2025,C261&gt;=36,C261&lt;=42),"Sep-oct 2025","Resto del año"))</f>
        <v>Resto del año</v>
      </c>
    </row>
    <row r="262" customFormat="false" ht="15" hidden="false" customHeight="false" outlineLevel="0" collapsed="false">
      <c r="A262" s="7" t="s">
        <v>44</v>
      </c>
      <c r="B262" s="7" t="n">
        <v>2025</v>
      </c>
      <c r="C262" s="7" t="n">
        <v>21</v>
      </c>
      <c r="D262" s="7" t="n">
        <v>5</v>
      </c>
      <c r="E262" s="20" t="n">
        <v>47681</v>
      </c>
      <c r="F262" s="20" t="n">
        <v>54166</v>
      </c>
      <c r="G262" s="20" t="n">
        <v>455800</v>
      </c>
      <c r="H262" s="20" t="n">
        <v>456448</v>
      </c>
      <c r="I262" s="31" t="n">
        <v>0.7366</v>
      </c>
      <c r="J262" s="32" t="b">
        <f aca="false">FALSE()</f>
        <v>0</v>
      </c>
      <c r="K262" s="32" t="b">
        <f aca="false">FALSE()</f>
        <v>0</v>
      </c>
      <c r="L262" s="32" t="b">
        <f aca="false">FALSE()</f>
        <v>0</v>
      </c>
      <c r="M262" s="32" t="b">
        <f aca="false">FALSE()</f>
        <v>0</v>
      </c>
      <c r="N262" s="6" t="str">
        <f aca="false">IF(OR(AND(B262=2024,C262&gt;=43),AND(B262=2025,C262&lt;=13)),"Temporada 2024-25",IF(AND(B262=2025,C262&gt;=36,C262&lt;=42),"Sep-oct 2025","Resto del año"))</f>
        <v>Resto del año</v>
      </c>
    </row>
    <row r="263" customFormat="false" ht="15" hidden="false" customHeight="false" outlineLevel="0" collapsed="false">
      <c r="A263" s="7" t="s">
        <v>44</v>
      </c>
      <c r="B263" s="7" t="n">
        <v>2025</v>
      </c>
      <c r="C263" s="7" t="n">
        <v>22</v>
      </c>
      <c r="D263" s="7" t="n">
        <v>5</v>
      </c>
      <c r="E263" s="20" t="n">
        <v>56879</v>
      </c>
      <c r="F263" s="20" t="n">
        <v>54589</v>
      </c>
      <c r="G263" s="20" t="n">
        <v>455459</v>
      </c>
      <c r="H263" s="20" t="n">
        <v>460360</v>
      </c>
      <c r="I263" s="31" t="n">
        <v>0.7318</v>
      </c>
      <c r="J263" s="32" t="b">
        <f aca="false">FALSE()</f>
        <v>0</v>
      </c>
      <c r="K263" s="32" t="b">
        <f aca="false">FALSE()</f>
        <v>0</v>
      </c>
      <c r="L263" s="32" t="b">
        <f aca="false">FALSE()</f>
        <v>0</v>
      </c>
      <c r="M263" s="32" t="b">
        <f aca="false">FALSE()</f>
        <v>0</v>
      </c>
      <c r="N263" s="6" t="str">
        <f aca="false">IF(OR(AND(B263=2024,C263&gt;=43),AND(B263=2025,C263&lt;=13)),"Temporada 2024-25",IF(AND(B263=2025,C263&gt;=36,C263&lt;=42),"Sep-oct 2025","Resto del año"))</f>
        <v>Resto del año</v>
      </c>
    </row>
    <row r="264" customFormat="false" ht="15" hidden="false" customHeight="false" outlineLevel="0" collapsed="false">
      <c r="A264" s="7" t="s">
        <v>44</v>
      </c>
      <c r="B264" s="7" t="n">
        <v>2025</v>
      </c>
      <c r="C264" s="7" t="n">
        <v>23</v>
      </c>
      <c r="D264" s="7" t="n">
        <v>6</v>
      </c>
      <c r="E264" s="20" t="n">
        <v>48687</v>
      </c>
      <c r="F264" s="20" t="n">
        <v>50884</v>
      </c>
      <c r="G264" s="20" t="n">
        <v>443848</v>
      </c>
      <c r="H264" s="20" t="n">
        <v>433049</v>
      </c>
      <c r="I264" s="31" t="n">
        <v>0.7326</v>
      </c>
      <c r="J264" s="32" t="b">
        <f aca="false">FALSE()</f>
        <v>0</v>
      </c>
      <c r="K264" s="32" t="b">
        <f aca="false">FALSE()</f>
        <v>0</v>
      </c>
      <c r="L264" s="32" t="b">
        <f aca="false">FALSE()</f>
        <v>0</v>
      </c>
      <c r="M264" s="32" t="b">
        <f aca="false">FALSE()</f>
        <v>0</v>
      </c>
      <c r="N264" s="6" t="str">
        <f aca="false">IF(OR(AND(B264=2024,C264&gt;=43),AND(B264=2025,C264&lt;=13)),"Temporada 2024-25",IF(AND(B264=2025,C264&gt;=36,C264&lt;=42),"Sep-oct 2025","Resto del año"))</f>
        <v>Resto del año</v>
      </c>
    </row>
    <row r="265" customFormat="false" ht="15" hidden="false" customHeight="false" outlineLevel="0" collapsed="false">
      <c r="A265" s="7" t="s">
        <v>44</v>
      </c>
      <c r="B265" s="7" t="n">
        <v>2025</v>
      </c>
      <c r="C265" s="7" t="n">
        <v>24</v>
      </c>
      <c r="D265" s="7" t="n">
        <v>6</v>
      </c>
      <c r="E265" s="20" t="n">
        <v>53744</v>
      </c>
      <c r="F265" s="20" t="n">
        <v>52113</v>
      </c>
      <c r="G265" s="20" t="n">
        <v>408986</v>
      </c>
      <c r="H265" s="20" t="n">
        <v>430957</v>
      </c>
      <c r="I265" s="31" t="n">
        <v>0.732</v>
      </c>
      <c r="J265" s="32" t="b">
        <f aca="false">FALSE()</f>
        <v>0</v>
      </c>
      <c r="K265" s="32" t="b">
        <f aca="false">FALSE()</f>
        <v>0</v>
      </c>
      <c r="L265" s="32" t="b">
        <f aca="false">FALSE()</f>
        <v>0</v>
      </c>
      <c r="M265" s="32" t="b">
        <f aca="false">FALSE()</f>
        <v>0</v>
      </c>
      <c r="N265" s="6" t="str">
        <f aca="false">IF(OR(AND(B265=2024,C265&gt;=43),AND(B265=2025,C265&lt;=13)),"Temporada 2024-25",IF(AND(B265=2025,C265&gt;=36,C265&lt;=42),"Sep-oct 2025","Resto del año"))</f>
        <v>Resto del año</v>
      </c>
    </row>
    <row r="266" customFormat="false" ht="15" hidden="false" customHeight="false" outlineLevel="0" collapsed="false">
      <c r="A266" s="7" t="s">
        <v>44</v>
      </c>
      <c r="B266" s="7" t="n">
        <v>2025</v>
      </c>
      <c r="C266" s="7" t="n">
        <v>25</v>
      </c>
      <c r="D266" s="7" t="n">
        <v>6</v>
      </c>
      <c r="E266" s="20" t="n">
        <v>51128</v>
      </c>
      <c r="F266" s="20" t="n">
        <v>53576</v>
      </c>
      <c r="G266" s="20" t="n">
        <v>457256</v>
      </c>
      <c r="H266" s="20" t="n">
        <v>458313</v>
      </c>
      <c r="I266" s="31" t="n">
        <v>0.7309</v>
      </c>
      <c r="J266" s="32" t="b">
        <f aca="false">FALSE()</f>
        <v>0</v>
      </c>
      <c r="K266" s="32" t="b">
        <f aca="false">FALSE()</f>
        <v>0</v>
      </c>
      <c r="L266" s="32" t="b">
        <f aca="false">FALSE()</f>
        <v>0</v>
      </c>
      <c r="M266" s="32" t="b">
        <f aca="false">FALSE()</f>
        <v>0</v>
      </c>
      <c r="N266" s="6" t="str">
        <f aca="false">IF(OR(AND(B266=2024,C266&gt;=43),AND(B266=2025,C266&lt;=13)),"Temporada 2024-25",IF(AND(B266=2025,C266&gt;=36,C266&lt;=42),"Sep-oct 2025","Resto del año"))</f>
        <v>Resto del año</v>
      </c>
    </row>
    <row r="267" customFormat="false" ht="15" hidden="false" customHeight="false" outlineLevel="0" collapsed="false">
      <c r="A267" s="7" t="s">
        <v>44</v>
      </c>
      <c r="B267" s="7" t="n">
        <v>2025</v>
      </c>
      <c r="C267" s="7" t="n">
        <v>26</v>
      </c>
      <c r="D267" s="7" t="n">
        <v>6</v>
      </c>
      <c r="E267" s="20" t="n">
        <v>49253</v>
      </c>
      <c r="F267" s="20" t="n">
        <v>54643</v>
      </c>
      <c r="G267" s="20" t="n">
        <v>465388</v>
      </c>
      <c r="H267" s="20" t="n">
        <v>482513</v>
      </c>
      <c r="I267" s="31" t="n">
        <v>0.7199</v>
      </c>
      <c r="J267" s="32" t="b">
        <f aca="false">FALSE()</f>
        <v>0</v>
      </c>
      <c r="K267" s="32" t="b">
        <f aca="false">FALSE()</f>
        <v>0</v>
      </c>
      <c r="L267" s="32" t="b">
        <f aca="false">FALSE()</f>
        <v>0</v>
      </c>
      <c r="M267" s="32" t="b">
        <f aca="false">FALSE()</f>
        <v>0</v>
      </c>
      <c r="N267" s="6" t="str">
        <f aca="false">IF(OR(AND(B267=2024,C267&gt;=43),AND(B267=2025,C267&lt;=13)),"Temporada 2024-25",IF(AND(B267=2025,C267&gt;=36,C267&lt;=42),"Sep-oct 2025","Resto del año"))</f>
        <v>Resto del año</v>
      </c>
    </row>
    <row r="268" customFormat="false" ht="15" hidden="false" customHeight="false" outlineLevel="0" collapsed="false">
      <c r="A268" s="7" t="s">
        <v>44</v>
      </c>
      <c r="B268" s="7" t="n">
        <v>2025</v>
      </c>
      <c r="C268" s="7" t="n">
        <v>27</v>
      </c>
      <c r="D268" s="7" t="n">
        <v>6</v>
      </c>
      <c r="E268" s="20" t="n">
        <v>57756</v>
      </c>
      <c r="F268" s="20" t="n">
        <v>56353</v>
      </c>
      <c r="G268" s="20" t="n">
        <v>467103</v>
      </c>
      <c r="H268" s="20" t="n">
        <v>461718</v>
      </c>
      <c r="I268" s="31" t="n">
        <v>0.7213</v>
      </c>
      <c r="J268" s="32" t="b">
        <f aca="false">FALSE()</f>
        <v>0</v>
      </c>
      <c r="K268" s="32" t="b">
        <f aca="false">FALSE()</f>
        <v>0</v>
      </c>
      <c r="L268" s="32" t="b">
        <f aca="false">FALSE()</f>
        <v>0</v>
      </c>
      <c r="M268" s="32" t="b">
        <f aca="false">FALSE()</f>
        <v>0</v>
      </c>
      <c r="N268" s="6" t="str">
        <f aca="false">IF(OR(AND(B268=2024,C268&gt;=43),AND(B268=2025,C268&lt;=13)),"Temporada 2024-25",IF(AND(B268=2025,C268&gt;=36,C268&lt;=42),"Sep-oct 2025","Resto del año"))</f>
        <v>Resto del año</v>
      </c>
    </row>
    <row r="269" customFormat="false" ht="15" hidden="false" customHeight="false" outlineLevel="0" collapsed="false">
      <c r="A269" s="7" t="s">
        <v>44</v>
      </c>
      <c r="B269" s="7" t="n">
        <v>2025</v>
      </c>
      <c r="C269" s="7" t="n">
        <v>28</v>
      </c>
      <c r="D269" s="7" t="n">
        <v>7</v>
      </c>
      <c r="E269" s="20" t="n">
        <v>57818</v>
      </c>
      <c r="F269" s="20" t="n">
        <v>55564</v>
      </c>
      <c r="G269" s="20" t="n">
        <v>435670</v>
      </c>
      <c r="H269" s="20" t="n">
        <v>432750</v>
      </c>
      <c r="I269" s="31" t="n">
        <v>0.7403</v>
      </c>
      <c r="J269" s="32" t="b">
        <f aca="false">FALSE()</f>
        <v>0</v>
      </c>
      <c r="K269" s="32" t="b">
        <f aca="false">FALSE()</f>
        <v>0</v>
      </c>
      <c r="L269" s="32" t="b">
        <f aca="false">FALSE()</f>
        <v>0</v>
      </c>
      <c r="M269" s="32" t="b">
        <f aca="false">FALSE()</f>
        <v>0</v>
      </c>
      <c r="N269" s="6" t="str">
        <f aca="false">IF(OR(AND(B269=2024,C269&gt;=43),AND(B269=2025,C269&lt;=13)),"Temporada 2024-25",IF(AND(B269=2025,C269&gt;=36,C269&lt;=42),"Sep-oct 2025","Resto del año"))</f>
        <v>Resto del año</v>
      </c>
    </row>
    <row r="270" customFormat="false" ht="15" hidden="false" customHeight="false" outlineLevel="0" collapsed="false">
      <c r="A270" s="7" t="s">
        <v>44</v>
      </c>
      <c r="B270" s="7" t="n">
        <v>2025</v>
      </c>
      <c r="C270" s="7" t="n">
        <v>29</v>
      </c>
      <c r="D270" s="7" t="n">
        <v>7</v>
      </c>
      <c r="E270" s="20" t="n">
        <v>51480</v>
      </c>
      <c r="F270" s="20" t="n">
        <v>52294</v>
      </c>
      <c r="G270" s="20" t="n">
        <v>445822</v>
      </c>
      <c r="H270" s="20" t="n">
        <v>434744</v>
      </c>
      <c r="I270" s="31" t="n">
        <v>0.7455</v>
      </c>
      <c r="J270" s="32" t="b">
        <f aca="false">FALSE()</f>
        <v>0</v>
      </c>
      <c r="K270" s="32" t="b">
        <f aca="false">FALSE()</f>
        <v>0</v>
      </c>
      <c r="L270" s="32" t="b">
        <f aca="false">FALSE()</f>
        <v>0</v>
      </c>
      <c r="M270" s="32" t="b">
        <f aca="false">FALSE()</f>
        <v>0</v>
      </c>
      <c r="N270" s="6" t="str">
        <f aca="false">IF(OR(AND(B270=2024,C270&gt;=43),AND(B270=2025,C270&lt;=13)),"Temporada 2024-25",IF(AND(B270=2025,C270&gt;=36,C270&lt;=42),"Sep-oct 2025","Resto del año"))</f>
        <v>Resto del año</v>
      </c>
    </row>
    <row r="271" customFormat="false" ht="15" hidden="false" customHeight="false" outlineLevel="0" collapsed="false">
      <c r="A271" s="7" t="s">
        <v>44</v>
      </c>
      <c r="B271" s="7" t="n">
        <v>2025</v>
      </c>
      <c r="C271" s="7" t="n">
        <v>30</v>
      </c>
      <c r="D271" s="7" t="n">
        <v>7</v>
      </c>
      <c r="E271" s="20" t="n">
        <v>53692</v>
      </c>
      <c r="F271" s="20" t="n">
        <v>58003</v>
      </c>
      <c r="G271" s="20" t="n">
        <v>453854</v>
      </c>
      <c r="H271" s="20" t="n">
        <v>448072</v>
      </c>
      <c r="I271" s="31" t="n">
        <v>0.7681</v>
      </c>
      <c r="J271" s="32" t="b">
        <f aca="false">FALSE()</f>
        <v>0</v>
      </c>
      <c r="K271" s="32" t="b">
        <f aca="false">FALSE()</f>
        <v>0</v>
      </c>
      <c r="L271" s="32" t="b">
        <f aca="false">FALSE()</f>
        <v>0</v>
      </c>
      <c r="M271" s="32" t="b">
        <f aca="false">FALSE()</f>
        <v>0</v>
      </c>
      <c r="N271" s="6" t="str">
        <f aca="false">IF(OR(AND(B271=2024,C271&gt;=43),AND(B271=2025,C271&lt;=13)),"Temporada 2024-25",IF(AND(B271=2025,C271&gt;=36,C271&lt;=42),"Sep-oct 2025","Resto del año"))</f>
        <v>Resto del año</v>
      </c>
    </row>
    <row r="272" customFormat="false" ht="15" hidden="false" customHeight="false" outlineLevel="0" collapsed="false">
      <c r="A272" s="7" t="s">
        <v>44</v>
      </c>
      <c r="B272" s="7" t="n">
        <v>2025</v>
      </c>
      <c r="C272" s="7" t="n">
        <v>31</v>
      </c>
      <c r="D272" s="7" t="n">
        <v>7</v>
      </c>
      <c r="E272" s="20" t="n">
        <v>49701</v>
      </c>
      <c r="F272" s="20" t="n">
        <v>51059</v>
      </c>
      <c r="G272" s="20" t="n">
        <v>423191</v>
      </c>
      <c r="H272" s="20" t="n">
        <v>422354</v>
      </c>
      <c r="I272" s="31" t="n">
        <v>0.77125</v>
      </c>
      <c r="J272" s="32" t="b">
        <f aca="false">FALSE()</f>
        <v>0</v>
      </c>
      <c r="K272" s="32" t="b">
        <f aca="false">TRUE()</f>
        <v>1</v>
      </c>
      <c r="L272" s="32" t="b">
        <f aca="false">FALSE()</f>
        <v>0</v>
      </c>
      <c r="M272" s="32" t="b">
        <f aca="false">FALSE()</f>
        <v>0</v>
      </c>
      <c r="N272" s="6" t="str">
        <f aca="false">IF(OR(AND(B272=2024,C272&gt;=43),AND(B272=2025,C272&lt;=13)),"Temporada 2024-25",IF(AND(B272=2025,C272&gt;=36,C272&lt;=42),"Sep-oct 2025","Resto del año"))</f>
        <v>Resto del año</v>
      </c>
    </row>
    <row r="273" customFormat="false" ht="15" hidden="false" customHeight="false" outlineLevel="0" collapsed="false">
      <c r="A273" s="7" t="s">
        <v>44</v>
      </c>
      <c r="B273" s="7" t="n">
        <v>2025</v>
      </c>
      <c r="C273" s="7" t="n">
        <v>32</v>
      </c>
      <c r="D273" s="7" t="n">
        <v>8</v>
      </c>
      <c r="E273" s="20" t="n">
        <v>51444</v>
      </c>
      <c r="F273" s="20" t="n">
        <v>51844</v>
      </c>
      <c r="G273" s="20" t="n">
        <v>449169</v>
      </c>
      <c r="H273" s="20" t="n">
        <v>440665</v>
      </c>
      <c r="I273" s="31" t="n">
        <v>0.7744</v>
      </c>
      <c r="J273" s="32" t="b">
        <f aca="false">FALSE()</f>
        <v>0</v>
      </c>
      <c r="K273" s="32" t="b">
        <f aca="false">FALSE()</f>
        <v>0</v>
      </c>
      <c r="L273" s="32" t="b">
        <f aca="false">FALSE()</f>
        <v>0</v>
      </c>
      <c r="M273" s="32" t="b">
        <f aca="false">FALSE()</f>
        <v>0</v>
      </c>
      <c r="N273" s="6" t="str">
        <f aca="false">IF(OR(AND(B273=2024,C273&gt;=43),AND(B273=2025,C273&lt;=13)),"Temporada 2024-25",IF(AND(B273=2025,C273&gt;=36,C273&lt;=42),"Sep-oct 2025","Resto del año"))</f>
        <v>Resto del año</v>
      </c>
    </row>
    <row r="274" customFormat="false" ht="15" hidden="false" customHeight="false" outlineLevel="0" collapsed="false">
      <c r="A274" s="7" t="s">
        <v>44</v>
      </c>
      <c r="B274" s="7" t="n">
        <v>2025</v>
      </c>
      <c r="C274" s="7" t="n">
        <v>33</v>
      </c>
      <c r="D274" s="7" t="n">
        <v>8</v>
      </c>
      <c r="E274" s="20" t="n">
        <v>44945</v>
      </c>
      <c r="F274" s="20" t="n">
        <v>50865</v>
      </c>
      <c r="G274" s="20" t="n">
        <v>518083</v>
      </c>
      <c r="H274" s="20" t="n">
        <v>455011</v>
      </c>
      <c r="I274" s="31" t="n">
        <v>0.7657</v>
      </c>
      <c r="J274" s="32" t="b">
        <f aca="false">FALSE()</f>
        <v>0</v>
      </c>
      <c r="K274" s="32" t="b">
        <f aca="false">FALSE()</f>
        <v>0</v>
      </c>
      <c r="L274" s="32" t="b">
        <f aca="false">FALSE()</f>
        <v>0</v>
      </c>
      <c r="M274" s="32" t="b">
        <f aca="false">FALSE()</f>
        <v>0</v>
      </c>
      <c r="N274" s="6" t="str">
        <f aca="false">IF(OR(AND(B274=2024,C274&gt;=43),AND(B274=2025,C274&lt;=13)),"Temporada 2024-25",IF(AND(B274=2025,C274&gt;=36,C274&lt;=42),"Sep-oct 2025","Resto del año"))</f>
        <v>Resto del año</v>
      </c>
    </row>
    <row r="275" customFormat="false" ht="15" hidden="false" customHeight="false" outlineLevel="0" collapsed="false">
      <c r="A275" s="7" t="s">
        <v>44</v>
      </c>
      <c r="B275" s="7" t="n">
        <v>2025</v>
      </c>
      <c r="C275" s="7" t="n">
        <v>34</v>
      </c>
      <c r="D275" s="7" t="n">
        <v>8</v>
      </c>
      <c r="E275" s="20" t="n">
        <v>47387</v>
      </c>
      <c r="F275" s="20" t="n">
        <v>52561</v>
      </c>
      <c r="G275" s="20" t="n">
        <v>470657</v>
      </c>
      <c r="H275" s="20" t="n">
        <v>436937</v>
      </c>
      <c r="I275" s="31" t="n">
        <v>0.7693</v>
      </c>
      <c r="J275" s="32" t="b">
        <f aca="false">FALSE()</f>
        <v>0</v>
      </c>
      <c r="K275" s="32" t="b">
        <f aca="false">FALSE()</f>
        <v>0</v>
      </c>
      <c r="L275" s="32" t="b">
        <f aca="false">FALSE()</f>
        <v>0</v>
      </c>
      <c r="M275" s="32" t="b">
        <f aca="false">FALSE()</f>
        <v>0</v>
      </c>
      <c r="N275" s="6" t="str">
        <f aca="false">IF(OR(AND(B275=2024,C275&gt;=43),AND(B275=2025,C275&lt;=13)),"Temporada 2024-25",IF(AND(B275=2025,C275&gt;=36,C275&lt;=42),"Sep-oct 2025","Resto del año"))</f>
        <v>Resto del año</v>
      </c>
    </row>
    <row r="276" customFormat="false" ht="15" hidden="false" customHeight="false" outlineLevel="0" collapsed="false">
      <c r="A276" s="7" t="s">
        <v>44</v>
      </c>
      <c r="B276" s="7" t="n">
        <v>2025</v>
      </c>
      <c r="C276" s="7" t="n">
        <v>35</v>
      </c>
      <c r="D276" s="7" t="n">
        <v>8</v>
      </c>
      <c r="E276" s="20" t="n">
        <v>59901</v>
      </c>
      <c r="F276" s="20" t="n">
        <v>56515</v>
      </c>
      <c r="G276" s="20" t="n">
        <v>478472</v>
      </c>
      <c r="H276" s="20" t="n">
        <v>442627</v>
      </c>
      <c r="I276" s="31" t="n">
        <v>0.777</v>
      </c>
      <c r="J276" s="32" t="b">
        <f aca="false">FALSE()</f>
        <v>0</v>
      </c>
      <c r="K276" s="32" t="b">
        <f aca="false">FALSE()</f>
        <v>0</v>
      </c>
      <c r="L276" s="32" t="b">
        <f aca="false">FALSE()</f>
        <v>0</v>
      </c>
      <c r="M276" s="32" t="b">
        <f aca="false">FALSE()</f>
        <v>0</v>
      </c>
      <c r="N276" s="6" t="str">
        <f aca="false">IF(OR(AND(B276=2024,C276&gt;=43),AND(B276=2025,C276&lt;=13)),"Temporada 2024-25",IF(AND(B276=2025,C276&gt;=36,C276&lt;=42),"Sep-oct 2025","Resto del año"))</f>
        <v>Resto del año</v>
      </c>
    </row>
    <row r="277" customFormat="false" ht="15" hidden="false" customHeight="false" outlineLevel="0" collapsed="false">
      <c r="A277" s="7" t="s">
        <v>44</v>
      </c>
      <c r="B277" s="7" t="n">
        <v>2025</v>
      </c>
      <c r="C277" s="7" t="n">
        <v>36</v>
      </c>
      <c r="D277" s="7" t="n">
        <v>9</v>
      </c>
      <c r="E277" s="20" t="n">
        <v>55250</v>
      </c>
      <c r="F277" s="20" t="n">
        <v>58552</v>
      </c>
      <c r="G277" s="20" t="n">
        <v>455206</v>
      </c>
      <c r="H277" s="20" t="n">
        <v>449246</v>
      </c>
      <c r="I277" s="31" t="n">
        <v>0.8014</v>
      </c>
      <c r="J277" s="32" t="b">
        <f aca="false">FALSE()</f>
        <v>0</v>
      </c>
      <c r="K277" s="32" t="b">
        <f aca="false">FALSE()</f>
        <v>0</v>
      </c>
      <c r="L277" s="32" t="b">
        <f aca="false">FALSE()</f>
        <v>0</v>
      </c>
      <c r="M277" s="32" t="b">
        <f aca="false">FALSE()</f>
        <v>0</v>
      </c>
      <c r="N277" s="6" t="str">
        <f aca="false">IF(OR(AND(B277=2024,C277&gt;=43),AND(B277=2025,C277&lt;=13)),"Temporada 2024-25",IF(AND(B277=2025,C277&gt;=36,C277&lt;=42),"Sep-oct 2025","Resto del año"))</f>
        <v>Sep-oct 2025</v>
      </c>
    </row>
    <row r="278" customFormat="false" ht="15" hidden="false" customHeight="false" outlineLevel="0" collapsed="false">
      <c r="A278" s="7" t="s">
        <v>44</v>
      </c>
      <c r="B278" s="7" t="n">
        <v>2025</v>
      </c>
      <c r="C278" s="7" t="n">
        <v>37</v>
      </c>
      <c r="D278" s="7" t="n">
        <v>9</v>
      </c>
      <c r="E278" s="20" t="n">
        <v>56270</v>
      </c>
      <c r="F278" s="20" t="n">
        <v>53135</v>
      </c>
      <c r="G278" s="20" t="n">
        <v>478096</v>
      </c>
      <c r="H278" s="20" t="n">
        <v>459626</v>
      </c>
      <c r="I278" s="31" t="n">
        <v>0.7902</v>
      </c>
      <c r="J278" s="32" t="b">
        <f aca="false">FALSE()</f>
        <v>0</v>
      </c>
      <c r="K278" s="32" t="b">
        <f aca="false">FALSE()</f>
        <v>0</v>
      </c>
      <c r="L278" s="32" t="b">
        <f aca="false">FALSE()</f>
        <v>0</v>
      </c>
      <c r="M278" s="32" t="b">
        <f aca="false">FALSE()</f>
        <v>0</v>
      </c>
      <c r="N278" s="6" t="str">
        <f aca="false">IF(OR(AND(B278=2024,C278&gt;=43),AND(B278=2025,C278&lt;=13)),"Temporada 2024-25",IF(AND(B278=2025,C278&gt;=36,C278&lt;=42),"Sep-oct 2025","Resto del año"))</f>
        <v>Sep-oct 2025</v>
      </c>
    </row>
    <row r="279" customFormat="false" ht="15" hidden="false" customHeight="false" outlineLevel="0" collapsed="false">
      <c r="A279" s="7" t="s">
        <v>44</v>
      </c>
      <c r="B279" s="7" t="n">
        <v>2025</v>
      </c>
      <c r="C279" s="7" t="n">
        <v>38</v>
      </c>
      <c r="D279" s="7" t="n">
        <v>9</v>
      </c>
      <c r="E279" s="20" t="n">
        <v>47758</v>
      </c>
      <c r="F279" s="20" t="n">
        <v>49306</v>
      </c>
      <c r="G279" s="20" t="n">
        <v>435825</v>
      </c>
      <c r="H279" s="20" t="n">
        <v>418582</v>
      </c>
      <c r="I279" s="31" t="n">
        <v>0.7836</v>
      </c>
      <c r="J279" s="32" t="b">
        <f aca="false">FALSE()</f>
        <v>0</v>
      </c>
      <c r="K279" s="32" t="b">
        <f aca="false">FALSE()</f>
        <v>0</v>
      </c>
      <c r="L279" s="32" t="b">
        <f aca="false">FALSE()</f>
        <v>0</v>
      </c>
      <c r="M279" s="32" t="b">
        <f aca="false">FALSE()</f>
        <v>0</v>
      </c>
      <c r="N279" s="6" t="str">
        <f aca="false">IF(OR(AND(B279=2024,C279&gt;=43),AND(B279=2025,C279&lt;=13)),"Temporada 2024-25",IF(AND(B279=2025,C279&gt;=36,C279&lt;=42),"Sep-oct 2025","Resto del año"))</f>
        <v>Sep-oct 2025</v>
      </c>
    </row>
    <row r="280" customFormat="false" ht="15" hidden="false" customHeight="false" outlineLevel="0" collapsed="false">
      <c r="A280" s="7" t="s">
        <v>44</v>
      </c>
      <c r="B280" s="7" t="n">
        <v>2025</v>
      </c>
      <c r="C280" s="7" t="n">
        <v>39</v>
      </c>
      <c r="D280" s="7" t="n">
        <v>9</v>
      </c>
      <c r="E280" s="20" t="n">
        <v>49538</v>
      </c>
      <c r="F280" s="20" t="n">
        <v>53069</v>
      </c>
      <c r="G280" s="20" t="n">
        <v>439608</v>
      </c>
      <c r="H280" s="20" t="n">
        <v>429513</v>
      </c>
      <c r="I280" s="31" t="n">
        <v>0.7937</v>
      </c>
      <c r="J280" s="32" t="b">
        <f aca="false">FALSE()</f>
        <v>0</v>
      </c>
      <c r="K280" s="32" t="b">
        <f aca="false">FALSE()</f>
        <v>0</v>
      </c>
      <c r="L280" s="32" t="b">
        <f aca="false">FALSE()</f>
        <v>0</v>
      </c>
      <c r="M280" s="32" t="b">
        <f aca="false">FALSE()</f>
        <v>0</v>
      </c>
      <c r="N280" s="6" t="str">
        <f aca="false">IF(OR(AND(B280=2024,C280&gt;=43),AND(B280=2025,C280&lt;=13)),"Temporada 2024-25",IF(AND(B280=2025,C280&gt;=36,C280&lt;=42),"Sep-oct 2025","Resto del año"))</f>
        <v>Sep-oct 2025</v>
      </c>
    </row>
    <row r="281" customFormat="false" ht="15" hidden="false" customHeight="false" outlineLevel="0" collapsed="false">
      <c r="A281" s="7" t="s">
        <v>44</v>
      </c>
      <c r="B281" s="7" t="n">
        <v>2025</v>
      </c>
      <c r="C281" s="7" t="n">
        <v>40</v>
      </c>
      <c r="D281" s="7" t="n">
        <v>9</v>
      </c>
      <c r="E281" s="20" t="n">
        <v>44722</v>
      </c>
      <c r="F281" s="20" t="n">
        <v>58571</v>
      </c>
      <c r="G281" s="20" t="n">
        <v>454736</v>
      </c>
      <c r="H281" s="20" t="n">
        <v>454313</v>
      </c>
      <c r="I281" s="31" t="n">
        <v>0.8143</v>
      </c>
      <c r="J281" s="32" t="b">
        <f aca="false">FALSE()</f>
        <v>0</v>
      </c>
      <c r="K281" s="32" t="b">
        <f aca="false">FALSE()</f>
        <v>0</v>
      </c>
      <c r="L281" s="32" t="b">
        <f aca="false">FALSE()</f>
        <v>0</v>
      </c>
      <c r="M281" s="32" t="b">
        <f aca="false">FALSE()</f>
        <v>0</v>
      </c>
      <c r="N281" s="6" t="str">
        <f aca="false">IF(OR(AND(B281=2024,C281&gt;=43),AND(B281=2025,C281&lt;=13)),"Temporada 2024-25",IF(AND(B281=2025,C281&gt;=36,C281&lt;=42),"Sep-oct 2025","Resto del año"))</f>
        <v>Sep-oct 2025</v>
      </c>
    </row>
    <row r="282" customFormat="false" ht="15" hidden="false" customHeight="false" outlineLevel="0" collapsed="false">
      <c r="A282" s="7" t="s">
        <v>44</v>
      </c>
      <c r="B282" s="7" t="n">
        <v>2025</v>
      </c>
      <c r="C282" s="7" t="n">
        <v>41</v>
      </c>
      <c r="D282" s="7" t="n">
        <v>10</v>
      </c>
      <c r="E282" s="20" t="n">
        <v>41898</v>
      </c>
      <c r="F282" s="20" t="n">
        <v>51730</v>
      </c>
      <c r="G282" s="20" t="n">
        <v>440852</v>
      </c>
      <c r="H282" s="20" t="n">
        <v>430619</v>
      </c>
      <c r="I282" s="31" t="n">
        <v>0.8119</v>
      </c>
      <c r="J282" s="32" t="b">
        <f aca="false">FALSE()</f>
        <v>0</v>
      </c>
      <c r="K282" s="32" t="b">
        <f aca="false">FALSE()</f>
        <v>0</v>
      </c>
      <c r="L282" s="32" t="b">
        <f aca="false">FALSE()</f>
        <v>0</v>
      </c>
      <c r="M282" s="32" t="b">
        <f aca="false">FALSE()</f>
        <v>0</v>
      </c>
      <c r="N282" s="6" t="str">
        <f aca="false">IF(OR(AND(B282=2024,C282&gt;=43),AND(B282=2025,C282&lt;=13)),"Temporada 2024-25",IF(AND(B282=2025,C282&gt;=36,C282&lt;=42),"Sep-oct 2025","Resto del año"))</f>
        <v>Sep-oct 2025</v>
      </c>
    </row>
    <row r="283" customFormat="false" ht="15" hidden="false" customHeight="false" outlineLevel="0" collapsed="false">
      <c r="A283" s="7" t="s">
        <v>44</v>
      </c>
      <c r="B283" s="7" t="n">
        <v>2025</v>
      </c>
      <c r="C283" s="7" t="n">
        <v>42</v>
      </c>
      <c r="D283" s="7" t="n">
        <v>10</v>
      </c>
      <c r="E283" s="20" t="n">
        <v>36406</v>
      </c>
      <c r="F283" s="20" t="n">
        <v>49672</v>
      </c>
      <c r="G283" s="20" t="n">
        <v>453228</v>
      </c>
      <c r="H283" s="20" t="n">
        <v>434464</v>
      </c>
      <c r="I283" s="31" t="n">
        <v>0.8019</v>
      </c>
      <c r="J283" s="32" t="b">
        <f aca="false">FALSE()</f>
        <v>0</v>
      </c>
      <c r="K283" s="32" t="b">
        <f aca="false">FALSE()</f>
        <v>0</v>
      </c>
      <c r="L283" s="32" t="b">
        <f aca="false">FALSE()</f>
        <v>0</v>
      </c>
      <c r="M283" s="32" t="b">
        <f aca="false">FALSE()</f>
        <v>0</v>
      </c>
      <c r="N283" s="6" t="str">
        <f aca="false">IF(OR(AND(B283=2024,C283&gt;=43),AND(B283=2025,C283&lt;=13)),"Temporada 2024-25",IF(AND(B283=2025,C283&gt;=36,C283&lt;=42),"Sep-oct 2025","Resto del año"))</f>
        <v>Sep-oct 2025</v>
      </c>
    </row>
    <row r="284" customFormat="false" ht="15" hidden="false" customHeight="false" outlineLevel="0" collapsed="false">
      <c r="A284" s="7" t="s">
        <v>47</v>
      </c>
      <c r="B284" s="7" t="n">
        <v>2024</v>
      </c>
      <c r="C284" s="7" t="n">
        <v>1</v>
      </c>
      <c r="D284" s="7" t="n">
        <v>1</v>
      </c>
      <c r="E284" s="20" t="n">
        <v>9876</v>
      </c>
      <c r="F284" s="20" t="n">
        <v>10855</v>
      </c>
      <c r="G284" s="20" t="n">
        <v>83684</v>
      </c>
      <c r="H284" s="20" t="n">
        <v>87631</v>
      </c>
      <c r="I284" s="31" t="n">
        <v>0.6602</v>
      </c>
      <c r="J284" s="32" t="b">
        <f aca="false">FALSE()</f>
        <v>0</v>
      </c>
      <c r="K284" s="32" t="b">
        <f aca="false">FALSE()</f>
        <v>0</v>
      </c>
      <c r="L284" s="32" t="b">
        <f aca="false">FALSE()</f>
        <v>0</v>
      </c>
      <c r="M284" s="32" t="b">
        <f aca="false">FALSE()</f>
        <v>0</v>
      </c>
      <c r="N284" s="6" t="str">
        <f aca="false">IF(OR(AND(B284=2024,C284&gt;=43),AND(B284=2025,C284&lt;=13)),"Temporada 2024-25",IF(AND(B284=2025,C284&gt;=36,C284&lt;=42),"Sep-oct 2025","Resto del año"))</f>
        <v>Resto del año</v>
      </c>
    </row>
    <row r="285" customFormat="false" ht="15" hidden="false" customHeight="false" outlineLevel="0" collapsed="false">
      <c r="A285" s="7" t="s">
        <v>47</v>
      </c>
      <c r="B285" s="7" t="n">
        <v>2024</v>
      </c>
      <c r="C285" s="7" t="n">
        <v>2</v>
      </c>
      <c r="D285" s="7" t="n">
        <v>1</v>
      </c>
      <c r="E285" s="20" t="n">
        <v>8048</v>
      </c>
      <c r="F285" s="20" t="n">
        <v>8535</v>
      </c>
      <c r="G285" s="20" t="n">
        <v>83802</v>
      </c>
      <c r="H285" s="20" t="n">
        <v>79842</v>
      </c>
      <c r="I285" s="31" t="n">
        <v>0.6225</v>
      </c>
      <c r="J285" s="32" t="b">
        <f aca="false">FALSE()</f>
        <v>0</v>
      </c>
      <c r="K285" s="32" t="b">
        <f aca="false">FALSE()</f>
        <v>0</v>
      </c>
      <c r="L285" s="32" t="b">
        <f aca="false">FALSE()</f>
        <v>0</v>
      </c>
      <c r="M285" s="32" t="b">
        <f aca="false">FALSE()</f>
        <v>0</v>
      </c>
      <c r="N285" s="6" t="str">
        <f aca="false">IF(OR(AND(B285=2024,C285&gt;=43),AND(B285=2025,C285&lt;=13)),"Temporada 2024-25",IF(AND(B285=2025,C285&gt;=36,C285&lt;=42),"Sep-oct 2025","Resto del año"))</f>
        <v>Resto del año</v>
      </c>
    </row>
    <row r="286" customFormat="false" ht="15" hidden="false" customHeight="false" outlineLevel="0" collapsed="false">
      <c r="A286" s="7" t="s">
        <v>47</v>
      </c>
      <c r="B286" s="7" t="n">
        <v>2024</v>
      </c>
      <c r="C286" s="7" t="n">
        <v>3</v>
      </c>
      <c r="D286" s="7" t="n">
        <v>1</v>
      </c>
      <c r="E286" s="20" t="n">
        <v>8144</v>
      </c>
      <c r="F286" s="20" t="n">
        <v>8385</v>
      </c>
      <c r="G286" s="20" t="n">
        <v>74086</v>
      </c>
      <c r="H286" s="20" t="n">
        <v>75911</v>
      </c>
      <c r="I286" s="31" t="n">
        <v>0.5946</v>
      </c>
      <c r="J286" s="32" t="b">
        <f aca="false">FALSE()</f>
        <v>0</v>
      </c>
      <c r="K286" s="32" t="b">
        <f aca="false">FALSE()</f>
        <v>0</v>
      </c>
      <c r="L286" s="32" t="b">
        <f aca="false">FALSE()</f>
        <v>0</v>
      </c>
      <c r="M286" s="32" t="b">
        <f aca="false">FALSE()</f>
        <v>0</v>
      </c>
      <c r="N286" s="6" t="str">
        <f aca="false">IF(OR(AND(B286=2024,C286&gt;=43),AND(B286=2025,C286&lt;=13)),"Temporada 2024-25",IF(AND(B286=2025,C286&gt;=36,C286&lt;=42),"Sep-oct 2025","Resto del año"))</f>
        <v>Resto del año</v>
      </c>
    </row>
    <row r="287" customFormat="false" ht="15" hidden="false" customHeight="false" outlineLevel="0" collapsed="false">
      <c r="A287" s="7" t="s">
        <v>47</v>
      </c>
      <c r="B287" s="7" t="n">
        <v>2024</v>
      </c>
      <c r="C287" s="7" t="n">
        <v>4</v>
      </c>
      <c r="D287" s="7" t="n">
        <v>1</v>
      </c>
      <c r="E287" s="20" t="n">
        <v>11029</v>
      </c>
      <c r="F287" s="20" t="n">
        <v>9365</v>
      </c>
      <c r="G287" s="20" t="n">
        <v>83571</v>
      </c>
      <c r="H287" s="20" t="n">
        <v>84827</v>
      </c>
      <c r="I287" s="31" t="n">
        <v>0.5593</v>
      </c>
      <c r="J287" s="32" t="b">
        <f aca="false">FALSE()</f>
        <v>0</v>
      </c>
      <c r="K287" s="32" t="b">
        <f aca="false">FALSE()</f>
        <v>0</v>
      </c>
      <c r="L287" s="32" t="b">
        <f aca="false">FALSE()</f>
        <v>0</v>
      </c>
      <c r="M287" s="32" t="b">
        <f aca="false">FALSE()</f>
        <v>0</v>
      </c>
      <c r="N287" s="6" t="str">
        <f aca="false">IF(OR(AND(B287=2024,C287&gt;=43),AND(B287=2025,C287&lt;=13)),"Temporada 2024-25",IF(AND(B287=2025,C287&gt;=36,C287&lt;=42),"Sep-oct 2025","Resto del año"))</f>
        <v>Resto del año</v>
      </c>
    </row>
    <row r="288" customFormat="false" ht="15" hidden="false" customHeight="false" outlineLevel="0" collapsed="false">
      <c r="A288" s="7" t="s">
        <v>47</v>
      </c>
      <c r="B288" s="7" t="n">
        <v>2024</v>
      </c>
      <c r="C288" s="7" t="n">
        <v>5</v>
      </c>
      <c r="D288" s="7" t="n">
        <v>1</v>
      </c>
      <c r="E288" s="20" t="n">
        <v>8885</v>
      </c>
      <c r="F288" s="20" t="n">
        <v>9234</v>
      </c>
      <c r="G288" s="20" t="n">
        <v>78533</v>
      </c>
      <c r="H288" s="20" t="n">
        <v>81390</v>
      </c>
      <c r="I288" s="31" t="n">
        <v>0.5204</v>
      </c>
      <c r="J288" s="32" t="b">
        <f aca="false">FALSE()</f>
        <v>0</v>
      </c>
      <c r="K288" s="32" t="b">
        <f aca="false">FALSE()</f>
        <v>0</v>
      </c>
      <c r="L288" s="32" t="b">
        <f aca="false">FALSE()</f>
        <v>0</v>
      </c>
      <c r="M288" s="32" t="b">
        <f aca="false">FALSE()</f>
        <v>0</v>
      </c>
      <c r="N288" s="6" t="str">
        <f aca="false">IF(OR(AND(B288=2024,C288&gt;=43),AND(B288=2025,C288&lt;=13)),"Temporada 2024-25",IF(AND(B288=2025,C288&gt;=36,C288&lt;=42),"Sep-oct 2025","Resto del año"))</f>
        <v>Resto del año</v>
      </c>
    </row>
    <row r="289" customFormat="false" ht="15" hidden="false" customHeight="false" outlineLevel="0" collapsed="false">
      <c r="A289" s="7" t="s">
        <v>47</v>
      </c>
      <c r="B289" s="7" t="n">
        <v>2024</v>
      </c>
      <c r="C289" s="7" t="n">
        <v>6</v>
      </c>
      <c r="D289" s="7" t="n">
        <v>2</v>
      </c>
      <c r="E289" s="20" t="n">
        <v>10330</v>
      </c>
      <c r="F289" s="20" t="n">
        <v>10738</v>
      </c>
      <c r="G289" s="20" t="n">
        <v>76087</v>
      </c>
      <c r="H289" s="20" t="n">
        <v>79837</v>
      </c>
      <c r="I289" s="31" t="n">
        <v>0.5185</v>
      </c>
      <c r="J289" s="32" t="b">
        <f aca="false">FALSE()</f>
        <v>0</v>
      </c>
      <c r="K289" s="32" t="b">
        <f aca="false">FALSE()</f>
        <v>0</v>
      </c>
      <c r="L289" s="32" t="b">
        <f aca="false">FALSE()</f>
        <v>0</v>
      </c>
      <c r="M289" s="32" t="b">
        <f aca="false">FALSE()</f>
        <v>0</v>
      </c>
      <c r="N289" s="6" t="str">
        <f aca="false">IF(OR(AND(B289=2024,C289&gt;=43),AND(B289=2025,C289&lt;=13)),"Temporada 2024-25",IF(AND(B289=2025,C289&gt;=36,C289&lt;=42),"Sep-oct 2025","Resto del año"))</f>
        <v>Resto del año</v>
      </c>
    </row>
    <row r="290" customFormat="false" ht="15" hidden="false" customHeight="false" outlineLevel="0" collapsed="false">
      <c r="A290" s="7" t="s">
        <v>47</v>
      </c>
      <c r="B290" s="7" t="n">
        <v>2024</v>
      </c>
      <c r="C290" s="7" t="n">
        <v>7</v>
      </c>
      <c r="D290" s="7" t="n">
        <v>2</v>
      </c>
      <c r="E290" s="20" t="n">
        <v>10158</v>
      </c>
      <c r="F290" s="20" t="n">
        <v>11544</v>
      </c>
      <c r="G290" s="20" t="n">
        <v>84806</v>
      </c>
      <c r="H290" s="20" t="n">
        <v>84946</v>
      </c>
      <c r="I290" s="31" t="n">
        <v>0.5216</v>
      </c>
      <c r="J290" s="32" t="b">
        <f aca="false">FALSE()</f>
        <v>0</v>
      </c>
      <c r="K290" s="32" t="b">
        <f aca="false">FALSE()</f>
        <v>0</v>
      </c>
      <c r="L290" s="32" t="b">
        <f aca="false">FALSE()</f>
        <v>0</v>
      </c>
      <c r="M290" s="32" t="b">
        <f aca="false">FALSE()</f>
        <v>0</v>
      </c>
      <c r="N290" s="6" t="str">
        <f aca="false">IF(OR(AND(B290=2024,C290&gt;=43),AND(B290=2025,C290&lt;=13)),"Temporada 2024-25",IF(AND(B290=2025,C290&gt;=36,C290&lt;=42),"Sep-oct 2025","Resto del año"))</f>
        <v>Resto del año</v>
      </c>
    </row>
    <row r="291" customFormat="false" ht="15" hidden="false" customHeight="false" outlineLevel="0" collapsed="false">
      <c r="A291" s="7" t="s">
        <v>47</v>
      </c>
      <c r="B291" s="7" t="n">
        <v>2024</v>
      </c>
      <c r="C291" s="7" t="n">
        <v>8</v>
      </c>
      <c r="D291" s="7" t="n">
        <v>2</v>
      </c>
      <c r="E291" s="20" t="n">
        <v>11590</v>
      </c>
      <c r="F291" s="20" t="n">
        <v>11842</v>
      </c>
      <c r="G291" s="20" t="n">
        <v>82682</v>
      </c>
      <c r="H291" s="20" t="n">
        <v>90229</v>
      </c>
      <c r="I291" s="31" t="n">
        <v>0.5293</v>
      </c>
      <c r="J291" s="32" t="b">
        <f aca="false">FALSE()</f>
        <v>0</v>
      </c>
      <c r="K291" s="32" t="b">
        <f aca="false">FALSE()</f>
        <v>0</v>
      </c>
      <c r="L291" s="32" t="b">
        <f aca="false">FALSE()</f>
        <v>0</v>
      </c>
      <c r="M291" s="32" t="b">
        <f aca="false">FALSE()</f>
        <v>0</v>
      </c>
      <c r="N291" s="6" t="str">
        <f aca="false">IF(OR(AND(B291=2024,C291&gt;=43),AND(B291=2025,C291&lt;=13)),"Temporada 2024-25",IF(AND(B291=2025,C291&gt;=36,C291&lt;=42),"Sep-oct 2025","Resto del año"))</f>
        <v>Resto del año</v>
      </c>
    </row>
    <row r="292" customFormat="false" ht="15" hidden="false" customHeight="false" outlineLevel="0" collapsed="false">
      <c r="A292" s="7" t="s">
        <v>47</v>
      </c>
      <c r="B292" s="7" t="n">
        <v>2024</v>
      </c>
      <c r="C292" s="7" t="n">
        <v>9</v>
      </c>
      <c r="D292" s="7" t="n">
        <v>2</v>
      </c>
      <c r="E292" s="20" t="n">
        <v>12668</v>
      </c>
      <c r="F292" s="20" t="n">
        <v>12147</v>
      </c>
      <c r="G292" s="20" t="n">
        <v>80605</v>
      </c>
      <c r="H292" s="20" t="n">
        <v>84673</v>
      </c>
      <c r="I292" s="31" t="n">
        <v>0.5433</v>
      </c>
      <c r="J292" s="32" t="b">
        <f aca="false">FALSE()</f>
        <v>0</v>
      </c>
      <c r="K292" s="32" t="b">
        <f aca="false">FALSE()</f>
        <v>0</v>
      </c>
      <c r="L292" s="32" t="b">
        <f aca="false">FALSE()</f>
        <v>0</v>
      </c>
      <c r="M292" s="32" t="b">
        <f aca="false">FALSE()</f>
        <v>0</v>
      </c>
      <c r="N292" s="6" t="str">
        <f aca="false">IF(OR(AND(B292=2024,C292&gt;=43),AND(B292=2025,C292&lt;=13)),"Temporada 2024-25",IF(AND(B292=2025,C292&gt;=36,C292&lt;=42),"Sep-oct 2025","Resto del año"))</f>
        <v>Resto del año</v>
      </c>
    </row>
    <row r="293" customFormat="false" ht="15" hidden="false" customHeight="false" outlineLevel="0" collapsed="false">
      <c r="A293" s="7" t="s">
        <v>47</v>
      </c>
      <c r="B293" s="7" t="n">
        <v>2024</v>
      </c>
      <c r="C293" s="7" t="n">
        <v>10</v>
      </c>
      <c r="D293" s="7" t="n">
        <v>3</v>
      </c>
      <c r="E293" s="20" t="n">
        <v>13260</v>
      </c>
      <c r="F293" s="20" t="n">
        <v>12799</v>
      </c>
      <c r="G293" s="20" t="n">
        <v>87210</v>
      </c>
      <c r="H293" s="20" t="n">
        <v>89269</v>
      </c>
      <c r="I293" s="31" t="n">
        <v>0.5505</v>
      </c>
      <c r="J293" s="32" t="b">
        <f aca="false">FALSE()</f>
        <v>0</v>
      </c>
      <c r="K293" s="32" t="b">
        <f aca="false">FALSE()</f>
        <v>0</v>
      </c>
      <c r="L293" s="32" t="b">
        <f aca="false">FALSE()</f>
        <v>0</v>
      </c>
      <c r="M293" s="32" t="b">
        <f aca="false">FALSE()</f>
        <v>0</v>
      </c>
      <c r="N293" s="6" t="str">
        <f aca="false">IF(OR(AND(B293=2024,C293&gt;=43),AND(B293=2025,C293&lt;=13)),"Temporada 2024-25",IF(AND(B293=2025,C293&gt;=36,C293&lt;=42),"Sep-oct 2025","Resto del año"))</f>
        <v>Resto del año</v>
      </c>
    </row>
    <row r="294" customFormat="false" ht="15" hidden="false" customHeight="false" outlineLevel="0" collapsed="false">
      <c r="A294" s="7" t="s">
        <v>47</v>
      </c>
      <c r="B294" s="7" t="n">
        <v>2024</v>
      </c>
      <c r="C294" s="7" t="n">
        <v>11</v>
      </c>
      <c r="D294" s="7" t="n">
        <v>3</v>
      </c>
      <c r="E294" s="20" t="n">
        <v>11222</v>
      </c>
      <c r="F294" s="20" t="n">
        <v>12666</v>
      </c>
      <c r="G294" s="20" t="n">
        <v>84692</v>
      </c>
      <c r="H294" s="20" t="n">
        <v>84352</v>
      </c>
      <c r="I294" s="31" t="n">
        <v>0.5674</v>
      </c>
      <c r="J294" s="32" t="b">
        <f aca="false">FALSE()</f>
        <v>0</v>
      </c>
      <c r="K294" s="32" t="b">
        <f aca="false">FALSE()</f>
        <v>0</v>
      </c>
      <c r="L294" s="32" t="b">
        <f aca="false">FALSE()</f>
        <v>0</v>
      </c>
      <c r="M294" s="32" t="b">
        <f aca="false">FALSE()</f>
        <v>0</v>
      </c>
      <c r="N294" s="6" t="str">
        <f aca="false">IF(OR(AND(B294=2024,C294&gt;=43),AND(B294=2025,C294&lt;=13)),"Temporada 2024-25",IF(AND(B294=2025,C294&gt;=36,C294&lt;=42),"Sep-oct 2025","Resto del año"))</f>
        <v>Resto del año</v>
      </c>
    </row>
    <row r="295" customFormat="false" ht="15" hidden="false" customHeight="false" outlineLevel="0" collapsed="false">
      <c r="A295" s="7" t="s">
        <v>47</v>
      </c>
      <c r="B295" s="7" t="n">
        <v>2024</v>
      </c>
      <c r="C295" s="7" t="n">
        <v>12</v>
      </c>
      <c r="D295" s="7" t="n">
        <v>3</v>
      </c>
      <c r="E295" s="20" t="n">
        <v>11639</v>
      </c>
      <c r="F295" s="20" t="n">
        <v>12510</v>
      </c>
      <c r="G295" s="20" t="n">
        <v>82548</v>
      </c>
      <c r="H295" s="20" t="n">
        <v>86610</v>
      </c>
      <c r="I295" s="31" t="n">
        <v>0.5704</v>
      </c>
      <c r="J295" s="32" t="b">
        <f aca="false">FALSE()</f>
        <v>0</v>
      </c>
      <c r="K295" s="32" t="b">
        <f aca="false">FALSE()</f>
        <v>0</v>
      </c>
      <c r="L295" s="32" t="b">
        <f aca="false">FALSE()</f>
        <v>0</v>
      </c>
      <c r="M295" s="32" t="b">
        <f aca="false">FALSE()</f>
        <v>0</v>
      </c>
      <c r="N295" s="6" t="str">
        <f aca="false">IF(OR(AND(B295=2024,C295&gt;=43),AND(B295=2025,C295&lt;=13)),"Temporada 2024-25",IF(AND(B295=2025,C295&gt;=36,C295&lt;=42),"Sep-oct 2025","Resto del año"))</f>
        <v>Resto del año</v>
      </c>
    </row>
    <row r="296" customFormat="false" ht="15" hidden="false" customHeight="false" outlineLevel="0" collapsed="false">
      <c r="A296" s="7" t="s">
        <v>47</v>
      </c>
      <c r="B296" s="7" t="n">
        <v>2024</v>
      </c>
      <c r="C296" s="7" t="n">
        <v>13</v>
      </c>
      <c r="D296" s="7" t="n">
        <v>3</v>
      </c>
      <c r="E296" s="20" t="n">
        <v>13751</v>
      </c>
      <c r="F296" s="20" t="n">
        <v>13659</v>
      </c>
      <c r="G296" s="20" t="n">
        <v>90218</v>
      </c>
      <c r="H296" s="20" t="n">
        <v>91529</v>
      </c>
      <c r="I296" s="31" t="n">
        <v>0.588</v>
      </c>
      <c r="J296" s="32" t="b">
        <f aca="false">FALSE()</f>
        <v>0</v>
      </c>
      <c r="K296" s="32" t="b">
        <f aca="false">FALSE()</f>
        <v>0</v>
      </c>
      <c r="L296" s="32" t="b">
        <f aca="false">FALSE()</f>
        <v>0</v>
      </c>
      <c r="M296" s="32" t="b">
        <f aca="false">FALSE()</f>
        <v>0</v>
      </c>
      <c r="N296" s="6" t="str">
        <f aca="false">IF(OR(AND(B296=2024,C296&gt;=43),AND(B296=2025,C296&lt;=13)),"Temporada 2024-25",IF(AND(B296=2025,C296&gt;=36,C296&lt;=42),"Sep-oct 2025","Resto del año"))</f>
        <v>Resto del año</v>
      </c>
    </row>
    <row r="297" customFormat="false" ht="15" hidden="false" customHeight="false" outlineLevel="0" collapsed="false">
      <c r="A297" s="7" t="s">
        <v>47</v>
      </c>
      <c r="B297" s="7" t="n">
        <v>2024</v>
      </c>
      <c r="C297" s="7" t="n">
        <v>14</v>
      </c>
      <c r="D297" s="7" t="n">
        <v>4</v>
      </c>
      <c r="E297" s="20" t="n">
        <v>11185</v>
      </c>
      <c r="F297" s="20" t="n">
        <v>11712</v>
      </c>
      <c r="G297" s="20" t="n">
        <v>78878</v>
      </c>
      <c r="H297" s="20" t="n">
        <v>82079</v>
      </c>
      <c r="I297" s="31" t="n">
        <v>0.6062</v>
      </c>
      <c r="J297" s="32" t="b">
        <f aca="false">FALSE()</f>
        <v>0</v>
      </c>
      <c r="K297" s="32" t="b">
        <f aca="false">FALSE()</f>
        <v>0</v>
      </c>
      <c r="L297" s="32" t="b">
        <f aca="false">FALSE()</f>
        <v>0</v>
      </c>
      <c r="M297" s="32" t="b">
        <f aca="false">FALSE()</f>
        <v>0</v>
      </c>
      <c r="N297" s="6" t="str">
        <f aca="false">IF(OR(AND(B297=2024,C297&gt;=43),AND(B297=2025,C297&lt;=13)),"Temporada 2024-25",IF(AND(B297=2025,C297&gt;=36,C297&lt;=42),"Sep-oct 2025","Resto del año"))</f>
        <v>Resto del año</v>
      </c>
    </row>
    <row r="298" customFormat="false" ht="15" hidden="false" customHeight="false" outlineLevel="0" collapsed="false">
      <c r="A298" s="7" t="s">
        <v>47</v>
      </c>
      <c r="B298" s="7" t="n">
        <v>2024</v>
      </c>
      <c r="C298" s="7" t="n">
        <v>15</v>
      </c>
      <c r="D298" s="7" t="n">
        <v>4</v>
      </c>
      <c r="E298" s="20" t="n">
        <v>11619</v>
      </c>
      <c r="F298" s="20" t="n">
        <v>11171</v>
      </c>
      <c r="G298" s="20" t="n">
        <v>90573</v>
      </c>
      <c r="H298" s="20" t="n">
        <v>87225</v>
      </c>
      <c r="I298" s="31" t="n">
        <v>0.5924</v>
      </c>
      <c r="J298" s="32" t="b">
        <f aca="false">FALSE()</f>
        <v>0</v>
      </c>
      <c r="K298" s="32" t="b">
        <f aca="false">FALSE()</f>
        <v>0</v>
      </c>
      <c r="L298" s="32" t="b">
        <f aca="false">FALSE()</f>
        <v>0</v>
      </c>
      <c r="M298" s="32" t="b">
        <f aca="false">FALSE()</f>
        <v>0</v>
      </c>
      <c r="N298" s="6" t="str">
        <f aca="false">IF(OR(AND(B298=2024,C298&gt;=43),AND(B298=2025,C298&lt;=13)),"Temporada 2024-25",IF(AND(B298=2025,C298&gt;=36,C298&lt;=42),"Sep-oct 2025","Resto del año"))</f>
        <v>Resto del año</v>
      </c>
    </row>
    <row r="299" customFormat="false" ht="15" hidden="false" customHeight="false" outlineLevel="0" collapsed="false">
      <c r="A299" s="7" t="s">
        <v>47</v>
      </c>
      <c r="B299" s="7" t="n">
        <v>2024</v>
      </c>
      <c r="C299" s="7" t="n">
        <v>16</v>
      </c>
      <c r="D299" s="7" t="n">
        <v>4</v>
      </c>
      <c r="E299" s="20" t="n">
        <v>10692</v>
      </c>
      <c r="F299" s="20" t="n">
        <v>12396</v>
      </c>
      <c r="G299" s="20" t="n">
        <v>88638</v>
      </c>
      <c r="H299" s="20" t="n">
        <v>85211</v>
      </c>
      <c r="I299" s="31" t="n">
        <v>0.6092</v>
      </c>
      <c r="J299" s="32" t="b">
        <f aca="false">FALSE()</f>
        <v>0</v>
      </c>
      <c r="K299" s="32" t="b">
        <f aca="false">FALSE()</f>
        <v>0</v>
      </c>
      <c r="L299" s="32" t="b">
        <f aca="false">FALSE()</f>
        <v>0</v>
      </c>
      <c r="M299" s="32" t="b">
        <f aca="false">FALSE()</f>
        <v>0</v>
      </c>
      <c r="N299" s="6" t="str">
        <f aca="false">IF(OR(AND(B299=2024,C299&gt;=43),AND(B299=2025,C299&lt;=13)),"Temporada 2024-25",IF(AND(B299=2025,C299&gt;=36,C299&lt;=42),"Sep-oct 2025","Resto del año"))</f>
        <v>Resto del año</v>
      </c>
    </row>
    <row r="300" customFormat="false" ht="15" hidden="false" customHeight="false" outlineLevel="0" collapsed="false">
      <c r="A300" s="7" t="s">
        <v>47</v>
      </c>
      <c r="B300" s="7" t="n">
        <v>2024</v>
      </c>
      <c r="C300" s="7" t="n">
        <v>17</v>
      </c>
      <c r="D300" s="7" t="n">
        <v>4</v>
      </c>
      <c r="E300" s="20" t="n">
        <v>11996</v>
      </c>
      <c r="F300" s="20" t="n">
        <v>12222</v>
      </c>
      <c r="G300" s="20" t="n">
        <v>90717</v>
      </c>
      <c r="H300" s="20" t="n">
        <v>83867</v>
      </c>
      <c r="I300" s="31" t="n">
        <v>0.621</v>
      </c>
      <c r="J300" s="32" t="b">
        <f aca="false">FALSE()</f>
        <v>0</v>
      </c>
      <c r="K300" s="32" t="b">
        <f aca="false">FALSE()</f>
        <v>0</v>
      </c>
      <c r="L300" s="32" t="b">
        <f aca="false">FALSE()</f>
        <v>0</v>
      </c>
      <c r="M300" s="32" t="b">
        <f aca="false">FALSE()</f>
        <v>0</v>
      </c>
      <c r="N300" s="6" t="str">
        <f aca="false">IF(OR(AND(B300=2024,C300&gt;=43),AND(B300=2025,C300&lt;=13)),"Temporada 2024-25",IF(AND(B300=2025,C300&gt;=36,C300&lt;=42),"Sep-oct 2025","Resto del año"))</f>
        <v>Resto del año</v>
      </c>
    </row>
    <row r="301" customFormat="false" ht="15" hidden="false" customHeight="false" outlineLevel="0" collapsed="false">
      <c r="A301" s="7" t="s">
        <v>47</v>
      </c>
      <c r="B301" s="7" t="n">
        <v>2024</v>
      </c>
      <c r="C301" s="7" t="n">
        <v>18</v>
      </c>
      <c r="D301" s="7" t="n">
        <v>4</v>
      </c>
      <c r="E301" s="20" t="n">
        <v>10329</v>
      </c>
      <c r="F301" s="20" t="n">
        <v>11527</v>
      </c>
      <c r="G301" s="20" t="n">
        <v>76606</v>
      </c>
      <c r="H301" s="20" t="n">
        <v>82679</v>
      </c>
      <c r="I301" s="31" t="n">
        <v>0.6242</v>
      </c>
      <c r="J301" s="32" t="b">
        <f aca="false">FALSE()</f>
        <v>0</v>
      </c>
      <c r="K301" s="32" t="b">
        <f aca="false">FALSE()</f>
        <v>0</v>
      </c>
      <c r="L301" s="32" t="b">
        <f aca="false">FALSE()</f>
        <v>0</v>
      </c>
      <c r="M301" s="32" t="b">
        <f aca="false">FALSE()</f>
        <v>0</v>
      </c>
      <c r="N301" s="6" t="str">
        <f aca="false">IF(OR(AND(B301=2024,C301&gt;=43),AND(B301=2025,C301&lt;=13)),"Temporada 2024-25",IF(AND(B301=2025,C301&gt;=36,C301&lt;=42),"Sep-oct 2025","Resto del año"))</f>
        <v>Resto del año</v>
      </c>
    </row>
    <row r="302" customFormat="false" ht="15" hidden="false" customHeight="false" outlineLevel="0" collapsed="false">
      <c r="A302" s="7" t="s">
        <v>47</v>
      </c>
      <c r="B302" s="7" t="n">
        <v>2024</v>
      </c>
      <c r="C302" s="7" t="n">
        <v>19</v>
      </c>
      <c r="D302" s="7" t="n">
        <v>5</v>
      </c>
      <c r="E302" s="20" t="n">
        <v>9666</v>
      </c>
      <c r="F302" s="20" t="n">
        <v>10349</v>
      </c>
      <c r="G302" s="20" t="n">
        <v>75661</v>
      </c>
      <c r="H302" s="20" t="n">
        <v>77872</v>
      </c>
      <c r="I302" s="31" t="n">
        <v>0.601</v>
      </c>
      <c r="J302" s="32" t="b">
        <f aca="false">FALSE()</f>
        <v>0</v>
      </c>
      <c r="K302" s="32" t="b">
        <f aca="false">FALSE()</f>
        <v>0</v>
      </c>
      <c r="L302" s="32" t="b">
        <f aca="false">FALSE()</f>
        <v>0</v>
      </c>
      <c r="M302" s="32" t="b">
        <f aca="false">FALSE()</f>
        <v>0</v>
      </c>
      <c r="N302" s="6" t="str">
        <f aca="false">IF(OR(AND(B302=2024,C302&gt;=43),AND(B302=2025,C302&lt;=13)),"Temporada 2024-25",IF(AND(B302=2025,C302&gt;=36,C302&lt;=42),"Sep-oct 2025","Resto del año"))</f>
        <v>Resto del año</v>
      </c>
    </row>
    <row r="303" customFormat="false" ht="15" hidden="false" customHeight="false" outlineLevel="0" collapsed="false">
      <c r="A303" s="7" t="s">
        <v>47</v>
      </c>
      <c r="B303" s="7" t="n">
        <v>2024</v>
      </c>
      <c r="C303" s="7" t="n">
        <v>20</v>
      </c>
      <c r="D303" s="7" t="n">
        <v>5</v>
      </c>
      <c r="E303" s="20" t="n">
        <v>10705</v>
      </c>
      <c r="F303" s="20" t="n">
        <v>11515</v>
      </c>
      <c r="G303" s="20" t="n">
        <v>77749</v>
      </c>
      <c r="H303" s="20" t="n">
        <v>83436</v>
      </c>
      <c r="I303" s="31" t="n">
        <v>0.5972</v>
      </c>
      <c r="J303" s="32" t="b">
        <f aca="false">FALSE()</f>
        <v>0</v>
      </c>
      <c r="K303" s="32" t="b">
        <f aca="false">FALSE()</f>
        <v>0</v>
      </c>
      <c r="L303" s="32" t="b">
        <f aca="false">FALSE()</f>
        <v>0</v>
      </c>
      <c r="M303" s="32" t="b">
        <f aca="false">FALSE()</f>
        <v>0</v>
      </c>
      <c r="N303" s="6" t="str">
        <f aca="false">IF(OR(AND(B303=2024,C303&gt;=43),AND(B303=2025,C303&lt;=13)),"Temporada 2024-25",IF(AND(B303=2025,C303&gt;=36,C303&lt;=42),"Sep-oct 2025","Resto del año"))</f>
        <v>Resto del año</v>
      </c>
    </row>
    <row r="304" customFormat="false" ht="15" hidden="false" customHeight="false" outlineLevel="0" collapsed="false">
      <c r="A304" s="7" t="s">
        <v>47</v>
      </c>
      <c r="B304" s="7" t="n">
        <v>2024</v>
      </c>
      <c r="C304" s="7" t="n">
        <v>21</v>
      </c>
      <c r="D304" s="7" t="n">
        <v>5</v>
      </c>
      <c r="E304" s="20" t="n">
        <v>11227</v>
      </c>
      <c r="F304" s="20" t="n">
        <v>11141</v>
      </c>
      <c r="G304" s="20" t="n">
        <v>82788</v>
      </c>
      <c r="H304" s="20" t="n">
        <v>83199</v>
      </c>
      <c r="I304" s="31" t="n">
        <v>0.5874</v>
      </c>
      <c r="J304" s="32" t="b">
        <f aca="false">FALSE()</f>
        <v>0</v>
      </c>
      <c r="K304" s="32" t="b">
        <f aca="false">FALSE()</f>
        <v>0</v>
      </c>
      <c r="L304" s="32" t="b">
        <f aca="false">FALSE()</f>
        <v>0</v>
      </c>
      <c r="M304" s="32" t="b">
        <f aca="false">FALSE()</f>
        <v>0</v>
      </c>
      <c r="N304" s="6" t="str">
        <f aca="false">IF(OR(AND(B304=2024,C304&gt;=43),AND(B304=2025,C304&lt;=13)),"Temporada 2024-25",IF(AND(B304=2025,C304&gt;=36,C304&lt;=42),"Sep-oct 2025","Resto del año"))</f>
        <v>Resto del año</v>
      </c>
    </row>
    <row r="305" customFormat="false" ht="15" hidden="false" customHeight="false" outlineLevel="0" collapsed="false">
      <c r="A305" s="7" t="s">
        <v>47</v>
      </c>
      <c r="B305" s="7" t="n">
        <v>2024</v>
      </c>
      <c r="C305" s="7" t="n">
        <v>22</v>
      </c>
      <c r="D305" s="7" t="n">
        <v>5</v>
      </c>
      <c r="E305" s="20" t="n">
        <v>13532</v>
      </c>
      <c r="F305" s="20" t="n">
        <v>12496</v>
      </c>
      <c r="G305" s="20" t="n">
        <v>85419</v>
      </c>
      <c r="H305" s="20" t="n">
        <v>85012</v>
      </c>
      <c r="I305" s="31" t="n">
        <v>0.6046</v>
      </c>
      <c r="J305" s="32" t="b">
        <f aca="false">FALSE()</f>
        <v>0</v>
      </c>
      <c r="K305" s="32" t="b">
        <f aca="false">FALSE()</f>
        <v>0</v>
      </c>
      <c r="L305" s="32" t="b">
        <f aca="false">FALSE()</f>
        <v>0</v>
      </c>
      <c r="M305" s="32" t="b">
        <f aca="false">FALSE()</f>
        <v>0</v>
      </c>
      <c r="N305" s="6" t="str">
        <f aca="false">IF(OR(AND(B305=2024,C305&gt;=43),AND(B305=2025,C305&lt;=13)),"Temporada 2024-25",IF(AND(B305=2025,C305&gt;=36,C305&lt;=42),"Sep-oct 2025","Resto del año"))</f>
        <v>Resto del año</v>
      </c>
    </row>
    <row r="306" customFormat="false" ht="15" hidden="false" customHeight="false" outlineLevel="0" collapsed="false">
      <c r="A306" s="7" t="s">
        <v>47</v>
      </c>
      <c r="B306" s="7" t="n">
        <v>2024</v>
      </c>
      <c r="C306" s="7" t="n">
        <v>23</v>
      </c>
      <c r="D306" s="7" t="n">
        <v>6</v>
      </c>
      <c r="E306" s="20" t="n">
        <v>12767</v>
      </c>
      <c r="F306" s="20" t="n">
        <v>13119</v>
      </c>
      <c r="G306" s="20" t="n">
        <v>94338</v>
      </c>
      <c r="H306" s="20" t="n">
        <v>91407</v>
      </c>
      <c r="I306" s="31" t="n">
        <v>0.6198</v>
      </c>
      <c r="J306" s="32" t="b">
        <f aca="false">FALSE()</f>
        <v>0</v>
      </c>
      <c r="K306" s="32" t="b">
        <f aca="false">FALSE()</f>
        <v>0</v>
      </c>
      <c r="L306" s="32" t="b">
        <f aca="false">FALSE()</f>
        <v>0</v>
      </c>
      <c r="M306" s="32" t="b">
        <f aca="false">FALSE()</f>
        <v>0</v>
      </c>
      <c r="N306" s="6" t="str">
        <f aca="false">IF(OR(AND(B306=2024,C306&gt;=43),AND(B306=2025,C306&lt;=13)),"Temporada 2024-25",IF(AND(B306=2025,C306&gt;=36,C306&lt;=42),"Sep-oct 2025","Resto del año"))</f>
        <v>Resto del año</v>
      </c>
    </row>
    <row r="307" customFormat="false" ht="15" hidden="false" customHeight="false" outlineLevel="0" collapsed="false">
      <c r="A307" s="7" t="s">
        <v>47</v>
      </c>
      <c r="B307" s="7" t="n">
        <v>2024</v>
      </c>
      <c r="C307" s="7" t="n">
        <v>24</v>
      </c>
      <c r="D307" s="7" t="n">
        <v>6</v>
      </c>
      <c r="E307" s="20" t="n">
        <v>11917</v>
      </c>
      <c r="F307" s="20" t="n">
        <v>12659</v>
      </c>
      <c r="G307" s="20" t="n">
        <v>85098</v>
      </c>
      <c r="H307" s="20" t="n">
        <v>86562</v>
      </c>
      <c r="I307" s="31" t="n">
        <v>0.6324</v>
      </c>
      <c r="J307" s="32" t="b">
        <f aca="false">FALSE()</f>
        <v>0</v>
      </c>
      <c r="K307" s="32" t="b">
        <f aca="false">FALSE()</f>
        <v>0</v>
      </c>
      <c r="L307" s="32" t="b">
        <f aca="false">FALSE()</f>
        <v>0</v>
      </c>
      <c r="M307" s="32" t="b">
        <f aca="false">FALSE()</f>
        <v>0</v>
      </c>
      <c r="N307" s="6" t="str">
        <f aca="false">IF(OR(AND(B307=2024,C307&gt;=43),AND(B307=2025,C307&lt;=13)),"Temporada 2024-25",IF(AND(B307=2025,C307&gt;=36,C307&lt;=42),"Sep-oct 2025","Resto del año"))</f>
        <v>Resto del año</v>
      </c>
    </row>
    <row r="308" customFormat="false" ht="15" hidden="false" customHeight="false" outlineLevel="0" collapsed="false">
      <c r="A308" s="7" t="s">
        <v>47</v>
      </c>
      <c r="B308" s="7" t="n">
        <v>2024</v>
      </c>
      <c r="C308" s="7" t="n">
        <v>25</v>
      </c>
      <c r="D308" s="7" t="n">
        <v>6</v>
      </c>
      <c r="E308" s="20" t="n">
        <v>10382</v>
      </c>
      <c r="F308" s="20" t="n">
        <v>11534</v>
      </c>
      <c r="G308" s="20" t="n">
        <v>91065</v>
      </c>
      <c r="H308" s="20" t="n">
        <v>86542</v>
      </c>
      <c r="I308" s="31" t="n">
        <v>0.6189</v>
      </c>
      <c r="J308" s="32" t="b">
        <f aca="false">FALSE()</f>
        <v>0</v>
      </c>
      <c r="K308" s="32" t="b">
        <f aca="false">FALSE()</f>
        <v>0</v>
      </c>
      <c r="L308" s="32" t="b">
        <f aca="false">FALSE()</f>
        <v>0</v>
      </c>
      <c r="M308" s="32" t="b">
        <f aca="false">FALSE()</f>
        <v>0</v>
      </c>
      <c r="N308" s="6" t="str">
        <f aca="false">IF(OR(AND(B308=2024,C308&gt;=43),AND(B308=2025,C308&lt;=13)),"Temporada 2024-25",IF(AND(B308=2025,C308&gt;=36,C308&lt;=42),"Sep-oct 2025","Resto del año"))</f>
        <v>Resto del año</v>
      </c>
    </row>
    <row r="309" customFormat="false" ht="15" hidden="false" customHeight="false" outlineLevel="0" collapsed="false">
      <c r="A309" s="7" t="s">
        <v>47</v>
      </c>
      <c r="B309" s="7" t="n">
        <v>2024</v>
      </c>
      <c r="C309" s="7" t="n">
        <v>26</v>
      </c>
      <c r="D309" s="7" t="n">
        <v>6</v>
      </c>
      <c r="E309" s="20" t="n">
        <v>12681</v>
      </c>
      <c r="F309" s="20" t="n">
        <v>11914</v>
      </c>
      <c r="G309" s="20" t="n">
        <v>87848</v>
      </c>
      <c r="H309" s="20" t="n">
        <v>87515</v>
      </c>
      <c r="I309" s="31" t="n">
        <v>0.6174</v>
      </c>
      <c r="J309" s="32" t="b">
        <f aca="false">FALSE()</f>
        <v>0</v>
      </c>
      <c r="K309" s="32" t="b">
        <f aca="false">FALSE()</f>
        <v>0</v>
      </c>
      <c r="L309" s="32" t="b">
        <f aca="false">FALSE()</f>
        <v>0</v>
      </c>
      <c r="M309" s="32" t="b">
        <f aca="false">FALSE()</f>
        <v>0</v>
      </c>
      <c r="N309" s="6" t="str">
        <f aca="false">IF(OR(AND(B309=2024,C309&gt;=43),AND(B309=2025,C309&lt;=13)),"Temporada 2024-25",IF(AND(B309=2025,C309&gt;=36,C309&lt;=42),"Sep-oct 2025","Resto del año"))</f>
        <v>Resto del año</v>
      </c>
    </row>
    <row r="310" customFormat="false" ht="15" hidden="false" customHeight="false" outlineLevel="0" collapsed="false">
      <c r="A310" s="7" t="s">
        <v>47</v>
      </c>
      <c r="B310" s="7" t="n">
        <v>2024</v>
      </c>
      <c r="C310" s="7" t="n">
        <v>27</v>
      </c>
      <c r="D310" s="7" t="n">
        <v>7</v>
      </c>
      <c r="E310" s="20" t="n">
        <v>10909</v>
      </c>
      <c r="F310" s="20" t="n">
        <v>11293</v>
      </c>
      <c r="G310" s="20" t="n">
        <v>85310</v>
      </c>
      <c r="H310" s="20" t="n">
        <v>83971</v>
      </c>
      <c r="I310" s="31" t="n">
        <v>0.6128</v>
      </c>
      <c r="J310" s="32" t="b">
        <f aca="false">FALSE()</f>
        <v>0</v>
      </c>
      <c r="K310" s="32" t="b">
        <f aca="false">FALSE()</f>
        <v>0</v>
      </c>
      <c r="L310" s="32" t="b">
        <f aca="false">FALSE()</f>
        <v>0</v>
      </c>
      <c r="M310" s="32" t="b">
        <f aca="false">FALSE()</f>
        <v>0</v>
      </c>
      <c r="N310" s="6" t="str">
        <f aca="false">IF(OR(AND(B310=2024,C310&gt;=43),AND(B310=2025,C310&lt;=13)),"Temporada 2024-25",IF(AND(B310=2025,C310&gt;=36,C310&lt;=42),"Sep-oct 2025","Resto del año"))</f>
        <v>Resto del año</v>
      </c>
    </row>
    <row r="311" customFormat="false" ht="15" hidden="false" customHeight="false" outlineLevel="0" collapsed="false">
      <c r="A311" s="7" t="s">
        <v>47</v>
      </c>
      <c r="B311" s="7" t="n">
        <v>2024</v>
      </c>
      <c r="C311" s="7" t="n">
        <v>28</v>
      </c>
      <c r="D311" s="7" t="n">
        <v>7</v>
      </c>
      <c r="E311" s="20" t="n">
        <v>10781</v>
      </c>
      <c r="F311" s="20" t="n">
        <v>11016</v>
      </c>
      <c r="G311" s="20" t="n">
        <v>80107</v>
      </c>
      <c r="H311" s="20" t="n">
        <v>76604</v>
      </c>
      <c r="I311" s="31" t="n">
        <v>0.6305</v>
      </c>
      <c r="J311" s="32" t="b">
        <f aca="false">FALSE()</f>
        <v>0</v>
      </c>
      <c r="K311" s="32" t="b">
        <f aca="false">FALSE()</f>
        <v>0</v>
      </c>
      <c r="L311" s="32" t="b">
        <f aca="false">FALSE()</f>
        <v>0</v>
      </c>
      <c r="M311" s="32" t="b">
        <f aca="false">FALSE()</f>
        <v>0</v>
      </c>
      <c r="N311" s="6" t="str">
        <f aca="false">IF(OR(AND(B311=2024,C311&gt;=43),AND(B311=2025,C311&lt;=13)),"Temporada 2024-25",IF(AND(B311=2025,C311&gt;=36,C311&lt;=42),"Sep-oct 2025","Resto del año"))</f>
        <v>Resto del año</v>
      </c>
    </row>
    <row r="312" customFormat="false" ht="15" hidden="false" customHeight="false" outlineLevel="0" collapsed="false">
      <c r="A312" s="7" t="s">
        <v>47</v>
      </c>
      <c r="B312" s="7" t="n">
        <v>2024</v>
      </c>
      <c r="C312" s="7" t="n">
        <v>29</v>
      </c>
      <c r="D312" s="7" t="n">
        <v>7</v>
      </c>
      <c r="E312" s="20" t="n">
        <v>10052</v>
      </c>
      <c r="F312" s="20" t="n">
        <v>10427</v>
      </c>
      <c r="G312" s="20" t="n">
        <v>74888</v>
      </c>
      <c r="H312" s="20" t="n">
        <v>74295</v>
      </c>
      <c r="I312" s="31" t="n">
        <v>0.6224</v>
      </c>
      <c r="J312" s="32" t="b">
        <f aca="false">FALSE()</f>
        <v>0</v>
      </c>
      <c r="K312" s="32" t="b">
        <f aca="false">FALSE()</f>
        <v>0</v>
      </c>
      <c r="L312" s="32" t="b">
        <f aca="false">FALSE()</f>
        <v>0</v>
      </c>
      <c r="M312" s="32" t="b">
        <f aca="false">FALSE()</f>
        <v>0</v>
      </c>
      <c r="N312" s="6" t="str">
        <f aca="false">IF(OR(AND(B312=2024,C312&gt;=43),AND(B312=2025,C312&lt;=13)),"Temporada 2024-25",IF(AND(B312=2025,C312&gt;=36,C312&lt;=42),"Sep-oct 2025","Resto del año"))</f>
        <v>Resto del año</v>
      </c>
    </row>
    <row r="313" customFormat="false" ht="15" hidden="false" customHeight="false" outlineLevel="0" collapsed="false">
      <c r="A313" s="7" t="s">
        <v>47</v>
      </c>
      <c r="B313" s="7" t="n">
        <v>2024</v>
      </c>
      <c r="C313" s="7" t="n">
        <v>30</v>
      </c>
      <c r="D313" s="7" t="n">
        <v>7</v>
      </c>
      <c r="E313" s="20" t="n">
        <v>10345</v>
      </c>
      <c r="F313" s="20" t="n">
        <v>11227</v>
      </c>
      <c r="G313" s="20" t="n">
        <v>82622</v>
      </c>
      <c r="H313" s="20" t="n">
        <v>83528</v>
      </c>
      <c r="I313" s="31" t="n">
        <v>0.6102</v>
      </c>
      <c r="J313" s="32" t="b">
        <f aca="false">FALSE()</f>
        <v>0</v>
      </c>
      <c r="K313" s="32" t="b">
        <f aca="false">FALSE()</f>
        <v>0</v>
      </c>
      <c r="L313" s="32" t="b">
        <f aca="false">FALSE()</f>
        <v>0</v>
      </c>
      <c r="M313" s="32" t="b">
        <f aca="false">FALSE()</f>
        <v>0</v>
      </c>
      <c r="N313" s="6" t="str">
        <f aca="false">IF(OR(AND(B313=2024,C313&gt;=43),AND(B313=2025,C313&lt;=13)),"Temporada 2024-25",IF(AND(B313=2025,C313&gt;=36,C313&lt;=42),"Sep-oct 2025","Resto del año"))</f>
        <v>Resto del año</v>
      </c>
    </row>
    <row r="314" customFormat="false" ht="15" hidden="false" customHeight="false" outlineLevel="0" collapsed="false">
      <c r="A314" s="7" t="s">
        <v>47</v>
      </c>
      <c r="B314" s="7" t="n">
        <v>2024</v>
      </c>
      <c r="C314" s="7" t="n">
        <v>31</v>
      </c>
      <c r="D314" s="7" t="n">
        <v>7</v>
      </c>
      <c r="E314" s="20" t="n">
        <v>11243</v>
      </c>
      <c r="F314" s="20" t="n">
        <v>11211</v>
      </c>
      <c r="G314" s="20" t="n">
        <v>86660</v>
      </c>
      <c r="H314" s="20" t="n">
        <v>82101</v>
      </c>
      <c r="I314" s="31" t="n">
        <v>0.6162</v>
      </c>
      <c r="J314" s="32" t="b">
        <f aca="false">FALSE()</f>
        <v>0</v>
      </c>
      <c r="K314" s="32" t="b">
        <f aca="false">FALSE()</f>
        <v>0</v>
      </c>
      <c r="L314" s="32" t="b">
        <f aca="false">FALSE()</f>
        <v>0</v>
      </c>
      <c r="M314" s="32" t="b">
        <f aca="false">FALSE()</f>
        <v>0</v>
      </c>
      <c r="N314" s="6" t="str">
        <f aca="false">IF(OR(AND(B314=2024,C314&gt;=43),AND(B314=2025,C314&lt;=13)),"Temporada 2024-25",IF(AND(B314=2025,C314&gt;=36,C314&lt;=42),"Sep-oct 2025","Resto del año"))</f>
        <v>Resto del año</v>
      </c>
    </row>
    <row r="315" customFormat="false" ht="15" hidden="false" customHeight="false" outlineLevel="0" collapsed="false">
      <c r="A315" s="7" t="s">
        <v>47</v>
      </c>
      <c r="B315" s="7" t="n">
        <v>2024</v>
      </c>
      <c r="C315" s="7" t="n">
        <v>32</v>
      </c>
      <c r="D315" s="7" t="n">
        <v>8</v>
      </c>
      <c r="E315" s="20" t="n">
        <v>11150</v>
      </c>
      <c r="F315" s="20" t="n">
        <v>12399</v>
      </c>
      <c r="G315" s="20" t="n">
        <v>86477</v>
      </c>
      <c r="H315" s="20" t="n">
        <v>87064</v>
      </c>
      <c r="I315" s="31" t="n">
        <v>0.6237</v>
      </c>
      <c r="J315" s="32" t="b">
        <f aca="false">FALSE()</f>
        <v>0</v>
      </c>
      <c r="K315" s="32" t="b">
        <f aca="false">FALSE()</f>
        <v>0</v>
      </c>
      <c r="L315" s="32" t="b">
        <f aca="false">FALSE()</f>
        <v>0</v>
      </c>
      <c r="M315" s="32" t="b">
        <f aca="false">FALSE()</f>
        <v>0</v>
      </c>
      <c r="N315" s="6" t="str">
        <f aca="false">IF(OR(AND(B315=2024,C315&gt;=43),AND(B315=2025,C315&lt;=13)),"Temporada 2024-25",IF(AND(B315=2025,C315&gt;=36,C315&lt;=42),"Sep-oct 2025","Resto del año"))</f>
        <v>Resto del año</v>
      </c>
    </row>
    <row r="316" customFormat="false" ht="15" hidden="false" customHeight="false" outlineLevel="0" collapsed="false">
      <c r="A316" s="7" t="s">
        <v>47</v>
      </c>
      <c r="B316" s="7" t="n">
        <v>2024</v>
      </c>
      <c r="C316" s="7" t="n">
        <v>33</v>
      </c>
      <c r="D316" s="7" t="n">
        <v>8</v>
      </c>
      <c r="E316" s="20" t="n">
        <v>10817</v>
      </c>
      <c r="F316" s="20" t="n">
        <v>11335</v>
      </c>
      <c r="G316" s="20" t="n">
        <v>85264</v>
      </c>
      <c r="H316" s="20" t="n">
        <v>83587</v>
      </c>
      <c r="I316" s="31" t="n">
        <v>0.6242</v>
      </c>
      <c r="J316" s="32" t="b">
        <f aca="false">FALSE()</f>
        <v>0</v>
      </c>
      <c r="K316" s="32" t="b">
        <f aca="false">FALSE()</f>
        <v>0</v>
      </c>
      <c r="L316" s="32" t="b">
        <f aca="false">FALSE()</f>
        <v>0</v>
      </c>
      <c r="M316" s="32" t="b">
        <f aca="false">FALSE()</f>
        <v>0</v>
      </c>
      <c r="N316" s="6" t="str">
        <f aca="false">IF(OR(AND(B316=2024,C316&gt;=43),AND(B316=2025,C316&lt;=13)),"Temporada 2024-25",IF(AND(B316=2025,C316&gt;=36,C316&lt;=42),"Sep-oct 2025","Resto del año"))</f>
        <v>Resto del año</v>
      </c>
    </row>
    <row r="317" customFormat="false" ht="15" hidden="false" customHeight="false" outlineLevel="0" collapsed="false">
      <c r="A317" s="7" t="s">
        <v>47</v>
      </c>
      <c r="B317" s="7" t="n">
        <v>2024</v>
      </c>
      <c r="C317" s="7" t="n">
        <v>34</v>
      </c>
      <c r="D317" s="7" t="n">
        <v>8</v>
      </c>
      <c r="E317" s="20" t="n">
        <v>12508</v>
      </c>
      <c r="F317" s="20" t="n">
        <v>11419</v>
      </c>
      <c r="G317" s="20" t="n">
        <v>78044</v>
      </c>
      <c r="H317" s="20" t="n">
        <v>80360</v>
      </c>
      <c r="I317" s="31" t="n">
        <v>0.6389</v>
      </c>
      <c r="J317" s="32" t="b">
        <f aca="false">FALSE()</f>
        <v>0</v>
      </c>
      <c r="K317" s="32" t="b">
        <f aca="false">FALSE()</f>
        <v>0</v>
      </c>
      <c r="L317" s="32" t="b">
        <f aca="false">FALSE()</f>
        <v>0</v>
      </c>
      <c r="M317" s="32" t="b">
        <f aca="false">FALSE()</f>
        <v>0</v>
      </c>
      <c r="N317" s="6" t="str">
        <f aca="false">IF(OR(AND(B317=2024,C317&gt;=43),AND(B317=2025,C317&lt;=13)),"Temporada 2024-25",IF(AND(B317=2025,C317&gt;=36,C317&lt;=42),"Sep-oct 2025","Resto del año"))</f>
        <v>Resto del año</v>
      </c>
    </row>
    <row r="318" customFormat="false" ht="15" hidden="false" customHeight="false" outlineLevel="0" collapsed="false">
      <c r="A318" s="7" t="s">
        <v>47</v>
      </c>
      <c r="B318" s="7" t="n">
        <v>2024</v>
      </c>
      <c r="C318" s="7" t="n">
        <v>35</v>
      </c>
      <c r="D318" s="7" t="n">
        <v>8</v>
      </c>
      <c r="E318" s="20" t="n">
        <v>12146</v>
      </c>
      <c r="F318" s="20" t="n">
        <v>11527</v>
      </c>
      <c r="G318" s="20" t="n">
        <v>70781</v>
      </c>
      <c r="H318" s="20" t="n">
        <v>77629</v>
      </c>
      <c r="I318" s="31" t="n">
        <v>0.6548</v>
      </c>
      <c r="J318" s="32" t="b">
        <f aca="false">FALSE()</f>
        <v>0</v>
      </c>
      <c r="K318" s="32" t="b">
        <f aca="false">FALSE()</f>
        <v>0</v>
      </c>
      <c r="L318" s="32" t="b">
        <f aca="false">FALSE()</f>
        <v>0</v>
      </c>
      <c r="M318" s="32" t="b">
        <f aca="false">FALSE()</f>
        <v>0</v>
      </c>
      <c r="N318" s="6" t="str">
        <f aca="false">IF(OR(AND(B318=2024,C318&gt;=43),AND(B318=2025,C318&lt;=13)),"Temporada 2024-25",IF(AND(B318=2025,C318&gt;=36,C318&lt;=42),"Sep-oct 2025","Resto del año"))</f>
        <v>Resto del año</v>
      </c>
    </row>
    <row r="319" customFormat="false" ht="15" hidden="false" customHeight="false" outlineLevel="0" collapsed="false">
      <c r="A319" s="7" t="s">
        <v>47</v>
      </c>
      <c r="B319" s="7" t="n">
        <v>2024</v>
      </c>
      <c r="C319" s="7" t="n">
        <v>36</v>
      </c>
      <c r="D319" s="7" t="n">
        <v>9</v>
      </c>
      <c r="E319" s="20" t="n">
        <v>12393</v>
      </c>
      <c r="F319" s="20" t="n">
        <v>11806</v>
      </c>
      <c r="G319" s="20" t="n">
        <v>77763</v>
      </c>
      <c r="H319" s="20" t="n">
        <v>81534</v>
      </c>
      <c r="I319" s="31" t="n">
        <v>0.6641</v>
      </c>
      <c r="J319" s="32" t="b">
        <f aca="false">FALSE()</f>
        <v>0</v>
      </c>
      <c r="K319" s="32" t="b">
        <f aca="false">FALSE()</f>
        <v>0</v>
      </c>
      <c r="L319" s="32" t="b">
        <f aca="false">FALSE()</f>
        <v>0</v>
      </c>
      <c r="M319" s="32" t="b">
        <f aca="false">FALSE()</f>
        <v>0</v>
      </c>
      <c r="N319" s="6" t="str">
        <f aca="false">IF(OR(AND(B319=2024,C319&gt;=43),AND(B319=2025,C319&lt;=13)),"Temporada 2024-25",IF(AND(B319=2025,C319&gt;=36,C319&lt;=42),"Sep-oct 2025","Resto del año"))</f>
        <v>Resto del año</v>
      </c>
    </row>
    <row r="320" customFormat="false" ht="15" hidden="false" customHeight="false" outlineLevel="0" collapsed="false">
      <c r="A320" s="7" t="s">
        <v>47</v>
      </c>
      <c r="B320" s="7" t="n">
        <v>2024</v>
      </c>
      <c r="C320" s="7" t="n">
        <v>37</v>
      </c>
      <c r="D320" s="7" t="n">
        <v>9</v>
      </c>
      <c r="E320" s="20" t="n">
        <v>12498</v>
      </c>
      <c r="F320" s="20" t="n">
        <v>11803</v>
      </c>
      <c r="G320" s="20" t="n">
        <v>81839</v>
      </c>
      <c r="H320" s="20" t="n">
        <v>80688</v>
      </c>
      <c r="I320" s="31" t="n">
        <v>0.6724</v>
      </c>
      <c r="J320" s="32" t="b">
        <f aca="false">FALSE()</f>
        <v>0</v>
      </c>
      <c r="K320" s="32" t="b">
        <f aca="false">FALSE()</f>
        <v>0</v>
      </c>
      <c r="L320" s="32" t="b">
        <f aca="false">FALSE()</f>
        <v>0</v>
      </c>
      <c r="M320" s="32" t="b">
        <f aca="false">FALSE()</f>
        <v>0</v>
      </c>
      <c r="N320" s="6" t="str">
        <f aca="false">IF(OR(AND(B320=2024,C320&gt;=43),AND(B320=2025,C320&lt;=13)),"Temporada 2024-25",IF(AND(B320=2025,C320&gt;=36,C320&lt;=42),"Sep-oct 2025","Resto del año"))</f>
        <v>Resto del año</v>
      </c>
    </row>
    <row r="321" customFormat="false" ht="15" hidden="false" customHeight="false" outlineLevel="0" collapsed="false">
      <c r="A321" s="7" t="s">
        <v>47</v>
      </c>
      <c r="B321" s="7" t="n">
        <v>2024</v>
      </c>
      <c r="C321" s="7" t="n">
        <v>38</v>
      </c>
      <c r="D321" s="7" t="n">
        <v>9</v>
      </c>
      <c r="E321" s="20" t="n">
        <v>10683</v>
      </c>
      <c r="F321" s="20" t="n">
        <v>11368</v>
      </c>
      <c r="G321" s="20" t="n">
        <v>82685</v>
      </c>
      <c r="H321" s="20" t="n">
        <v>82611</v>
      </c>
      <c r="I321" s="31" t="n">
        <v>0.6711</v>
      </c>
      <c r="J321" s="32" t="b">
        <f aca="false">FALSE()</f>
        <v>0</v>
      </c>
      <c r="K321" s="32" t="b">
        <f aca="false">FALSE()</f>
        <v>0</v>
      </c>
      <c r="L321" s="32" t="b">
        <f aca="false">FALSE()</f>
        <v>0</v>
      </c>
      <c r="M321" s="32" t="b">
        <f aca="false">FALSE()</f>
        <v>0</v>
      </c>
      <c r="N321" s="6" t="str">
        <f aca="false">IF(OR(AND(B321=2024,C321&gt;=43),AND(B321=2025,C321&lt;=13)),"Temporada 2024-25",IF(AND(B321=2025,C321&gt;=36,C321&lt;=42),"Sep-oct 2025","Resto del año"))</f>
        <v>Resto del año</v>
      </c>
    </row>
    <row r="322" customFormat="false" ht="15" hidden="false" customHeight="false" outlineLevel="0" collapsed="false">
      <c r="A322" s="7" t="s">
        <v>47</v>
      </c>
      <c r="B322" s="7" t="n">
        <v>2024</v>
      </c>
      <c r="C322" s="7" t="n">
        <v>39</v>
      </c>
      <c r="D322" s="7" t="n">
        <v>9</v>
      </c>
      <c r="E322" s="20" t="n">
        <v>11443</v>
      </c>
      <c r="F322" s="20" t="n">
        <v>10569</v>
      </c>
      <c r="G322" s="20" t="n">
        <v>77549</v>
      </c>
      <c r="H322" s="20" t="n">
        <v>76168</v>
      </c>
      <c r="I322" s="31" t="n">
        <v>0.6741</v>
      </c>
      <c r="J322" s="32" t="b">
        <f aca="false">FALSE()</f>
        <v>0</v>
      </c>
      <c r="K322" s="32" t="b">
        <f aca="false">FALSE()</f>
        <v>0</v>
      </c>
      <c r="L322" s="32" t="b">
        <f aca="false">FALSE()</f>
        <v>0</v>
      </c>
      <c r="M322" s="32" t="b">
        <f aca="false">FALSE()</f>
        <v>0</v>
      </c>
      <c r="N322" s="6" t="str">
        <f aca="false">IF(OR(AND(B322=2024,C322&gt;=43),AND(B322=2025,C322&lt;=13)),"Temporada 2024-25",IF(AND(B322=2025,C322&gt;=36,C322&lt;=42),"Sep-oct 2025","Resto del año"))</f>
        <v>Resto del año</v>
      </c>
    </row>
    <row r="323" customFormat="false" ht="15" hidden="false" customHeight="false" outlineLevel="0" collapsed="false">
      <c r="A323" s="7" t="s">
        <v>47</v>
      </c>
      <c r="B323" s="7" t="n">
        <v>2024</v>
      </c>
      <c r="C323" s="7" t="n">
        <v>40</v>
      </c>
      <c r="D323" s="7" t="n">
        <v>9</v>
      </c>
      <c r="E323" s="20" t="n">
        <v>9206</v>
      </c>
      <c r="F323" s="20" t="n">
        <v>11541</v>
      </c>
      <c r="G323" s="20" t="n">
        <v>85312</v>
      </c>
      <c r="H323" s="20" t="n">
        <v>82662</v>
      </c>
      <c r="I323" s="31" t="n">
        <v>0.6712</v>
      </c>
      <c r="J323" s="32" t="b">
        <f aca="false">FALSE()</f>
        <v>0</v>
      </c>
      <c r="K323" s="32" t="b">
        <f aca="false">FALSE()</f>
        <v>0</v>
      </c>
      <c r="L323" s="32" t="b">
        <f aca="false">FALSE()</f>
        <v>0</v>
      </c>
      <c r="M323" s="32" t="b">
        <f aca="false">FALSE()</f>
        <v>0</v>
      </c>
      <c r="N323" s="6" t="str">
        <f aca="false">IF(OR(AND(B323=2024,C323&gt;=43),AND(B323=2025,C323&lt;=13)),"Temporada 2024-25",IF(AND(B323=2025,C323&gt;=36,C323&lt;=42),"Sep-oct 2025","Resto del año"))</f>
        <v>Resto del año</v>
      </c>
    </row>
    <row r="324" customFormat="false" ht="15" hidden="false" customHeight="false" outlineLevel="0" collapsed="false">
      <c r="A324" s="7" t="s">
        <v>47</v>
      </c>
      <c r="B324" s="7" t="n">
        <v>2024</v>
      </c>
      <c r="C324" s="7" t="n">
        <v>41</v>
      </c>
      <c r="D324" s="7" t="n">
        <v>10</v>
      </c>
      <c r="E324" s="20" t="n">
        <v>8301</v>
      </c>
      <c r="F324" s="20" t="n">
        <v>12196</v>
      </c>
      <c r="G324" s="20" t="n">
        <v>93820</v>
      </c>
      <c r="H324" s="20" t="n">
        <v>87230</v>
      </c>
      <c r="I324" s="31" t="n">
        <v>0.6716</v>
      </c>
      <c r="J324" s="32" t="b">
        <f aca="false">FALSE()</f>
        <v>0</v>
      </c>
      <c r="K324" s="32" t="b">
        <f aca="false">FALSE()</f>
        <v>0</v>
      </c>
      <c r="L324" s="32" t="b">
        <f aca="false">FALSE()</f>
        <v>0</v>
      </c>
      <c r="M324" s="32" t="b">
        <f aca="false">FALSE()</f>
        <v>0</v>
      </c>
      <c r="N324" s="6" t="str">
        <f aca="false">IF(OR(AND(B324=2024,C324&gt;=43),AND(B324=2025,C324&lt;=13)),"Temporada 2024-25",IF(AND(B324=2025,C324&gt;=36,C324&lt;=42),"Sep-oct 2025","Resto del año"))</f>
        <v>Resto del año</v>
      </c>
    </row>
    <row r="325" customFormat="false" ht="15" hidden="false" customHeight="false" outlineLevel="0" collapsed="false">
      <c r="A325" s="7" t="s">
        <v>47</v>
      </c>
      <c r="B325" s="7" t="n">
        <v>2024</v>
      </c>
      <c r="C325" s="7" t="n">
        <v>42</v>
      </c>
      <c r="D325" s="7" t="n">
        <v>10</v>
      </c>
      <c r="E325" s="20" t="n">
        <v>9671</v>
      </c>
      <c r="F325" s="20" t="n">
        <v>12417</v>
      </c>
      <c r="G325" s="20" t="n">
        <v>85557</v>
      </c>
      <c r="H325" s="20" t="n">
        <v>87639</v>
      </c>
      <c r="I325" s="31" t="n">
        <v>0.662</v>
      </c>
      <c r="J325" s="32" t="b">
        <f aca="false">FALSE()</f>
        <v>0</v>
      </c>
      <c r="K325" s="32" t="b">
        <f aca="false">FALSE()</f>
        <v>0</v>
      </c>
      <c r="L325" s="32" t="b">
        <f aca="false">FALSE()</f>
        <v>0</v>
      </c>
      <c r="M325" s="32" t="b">
        <f aca="false">FALSE()</f>
        <v>0</v>
      </c>
      <c r="N325" s="6" t="str">
        <f aca="false">IF(OR(AND(B325=2024,C325&gt;=43),AND(B325=2025,C325&lt;=13)),"Temporada 2024-25",IF(AND(B325=2025,C325&gt;=36,C325&lt;=42),"Sep-oct 2025","Resto del año"))</f>
        <v>Resto del año</v>
      </c>
    </row>
    <row r="326" customFormat="false" ht="15" hidden="false" customHeight="false" outlineLevel="0" collapsed="false">
      <c r="A326" s="7" t="s">
        <v>47</v>
      </c>
      <c r="B326" s="7" t="n">
        <v>2024</v>
      </c>
      <c r="C326" s="7" t="n">
        <v>43</v>
      </c>
      <c r="D326" s="7" t="n">
        <v>10</v>
      </c>
      <c r="E326" s="20" t="n">
        <v>9429</v>
      </c>
      <c r="F326" s="20" t="n">
        <v>11170</v>
      </c>
      <c r="G326" s="20" t="n">
        <v>79305</v>
      </c>
      <c r="H326" s="20" t="n">
        <v>78821</v>
      </c>
      <c r="I326" s="31" t="n">
        <v>0.6707</v>
      </c>
      <c r="J326" s="32" t="b">
        <f aca="false">FALSE()</f>
        <v>0</v>
      </c>
      <c r="K326" s="32" t="b">
        <f aca="false">FALSE()</f>
        <v>0</v>
      </c>
      <c r="L326" s="32" t="b">
        <f aca="false">FALSE()</f>
        <v>0</v>
      </c>
      <c r="M326" s="32" t="b">
        <f aca="false">FALSE()</f>
        <v>0</v>
      </c>
      <c r="N326" s="6" t="str">
        <f aca="false">IF(OR(AND(B326=2024,C326&gt;=43),AND(B326=2025,C326&lt;=13)),"Temporada 2024-25",IF(AND(B326=2025,C326&gt;=36,C326&lt;=42),"Sep-oct 2025","Resto del año"))</f>
        <v>Temporada 2024-25</v>
      </c>
    </row>
    <row r="327" customFormat="false" ht="15" hidden="false" customHeight="false" outlineLevel="0" collapsed="false">
      <c r="A327" s="7" t="s">
        <v>47</v>
      </c>
      <c r="B327" s="7" t="n">
        <v>2024</v>
      </c>
      <c r="C327" s="7" t="n">
        <v>44</v>
      </c>
      <c r="D327" s="7" t="n">
        <v>10</v>
      </c>
      <c r="E327" s="20" t="n">
        <v>8426</v>
      </c>
      <c r="F327" s="20" t="n">
        <v>11952</v>
      </c>
      <c r="G327" s="20" t="n">
        <v>73659</v>
      </c>
      <c r="H327" s="20" t="n">
        <v>80243</v>
      </c>
      <c r="I327" s="31" t="n">
        <v>0.6816</v>
      </c>
      <c r="J327" s="32" t="b">
        <f aca="false">FALSE()</f>
        <v>0</v>
      </c>
      <c r="K327" s="32" t="b">
        <f aca="false">FALSE()</f>
        <v>0</v>
      </c>
      <c r="L327" s="32" t="b">
        <f aca="false">FALSE()</f>
        <v>0</v>
      </c>
      <c r="M327" s="32" t="b">
        <f aca="false">FALSE()</f>
        <v>0</v>
      </c>
      <c r="N327" s="6" t="str">
        <f aca="false">IF(OR(AND(B327=2024,C327&gt;=43),AND(B327=2025,C327&lt;=13)),"Temporada 2024-25",IF(AND(B327=2025,C327&gt;=36,C327&lt;=42),"Sep-oct 2025","Resto del año"))</f>
        <v>Temporada 2024-25</v>
      </c>
    </row>
    <row r="328" customFormat="false" ht="15" hidden="false" customHeight="false" outlineLevel="0" collapsed="false">
      <c r="A328" s="7" t="s">
        <v>47</v>
      </c>
      <c r="B328" s="7" t="n">
        <v>2024</v>
      </c>
      <c r="C328" s="7" t="n">
        <v>45</v>
      </c>
      <c r="D328" s="7" t="n">
        <v>11</v>
      </c>
      <c r="E328" s="20" t="n">
        <v>10142</v>
      </c>
      <c r="F328" s="20" t="n">
        <v>12217</v>
      </c>
      <c r="G328" s="20" t="n">
        <v>85881</v>
      </c>
      <c r="H328" s="20" t="n">
        <v>83630</v>
      </c>
      <c r="I328" s="31" t="n">
        <v>0.6929</v>
      </c>
      <c r="J328" s="32" t="b">
        <f aca="false">FALSE()</f>
        <v>0</v>
      </c>
      <c r="K328" s="32" t="b">
        <f aca="false">FALSE()</f>
        <v>0</v>
      </c>
      <c r="L328" s="32" t="b">
        <f aca="false">FALSE()</f>
        <v>0</v>
      </c>
      <c r="M328" s="32" t="b">
        <f aca="false">FALSE()</f>
        <v>0</v>
      </c>
      <c r="N328" s="6" t="str">
        <f aca="false">IF(OR(AND(B328=2024,C328&gt;=43),AND(B328=2025,C328&lt;=13)),"Temporada 2024-25",IF(AND(B328=2025,C328&gt;=36,C328&lt;=42),"Sep-oct 2025","Resto del año"))</f>
        <v>Temporada 2024-25</v>
      </c>
    </row>
    <row r="329" customFormat="false" ht="15" hidden="false" customHeight="false" outlineLevel="0" collapsed="false">
      <c r="A329" s="7" t="s">
        <v>47</v>
      </c>
      <c r="B329" s="7" t="n">
        <v>2024</v>
      </c>
      <c r="C329" s="7" t="n">
        <v>46</v>
      </c>
      <c r="D329" s="7" t="n">
        <v>11</v>
      </c>
      <c r="E329" s="20" t="n">
        <v>10851</v>
      </c>
      <c r="F329" s="20" t="n">
        <v>13553</v>
      </c>
      <c r="G329" s="20" t="n">
        <v>90441</v>
      </c>
      <c r="H329" s="20" t="n">
        <v>84013</v>
      </c>
      <c r="I329" s="31" t="n">
        <v>0.7325</v>
      </c>
      <c r="J329" s="32" t="b">
        <f aca="false">FALSE()</f>
        <v>0</v>
      </c>
      <c r="K329" s="32" t="b">
        <f aca="false">FALSE()</f>
        <v>0</v>
      </c>
      <c r="L329" s="32" t="b">
        <f aca="false">FALSE()</f>
        <v>0</v>
      </c>
      <c r="M329" s="32" t="b">
        <f aca="false">FALSE()</f>
        <v>0</v>
      </c>
      <c r="N329" s="6" t="str">
        <f aca="false">IF(OR(AND(B329=2024,C329&gt;=43),AND(B329=2025,C329&lt;=13)),"Temporada 2024-25",IF(AND(B329=2025,C329&gt;=36,C329&lt;=42),"Sep-oct 2025","Resto del año"))</f>
        <v>Temporada 2024-25</v>
      </c>
    </row>
    <row r="330" customFormat="false" ht="15" hidden="false" customHeight="false" outlineLevel="0" collapsed="false">
      <c r="A330" s="7" t="s">
        <v>47</v>
      </c>
      <c r="B330" s="7" t="n">
        <v>2024</v>
      </c>
      <c r="C330" s="7" t="n">
        <v>47</v>
      </c>
      <c r="D330" s="7" t="n">
        <v>11</v>
      </c>
      <c r="E330" s="20" t="n">
        <v>12309</v>
      </c>
      <c r="F330" s="20" t="n">
        <v>16986</v>
      </c>
      <c r="G330" s="20" t="n">
        <v>87815</v>
      </c>
      <c r="H330" s="20" t="n">
        <v>85162</v>
      </c>
      <c r="I330" s="31" t="n">
        <v>0.8133</v>
      </c>
      <c r="J330" s="32" t="b">
        <f aca="false">FALSE()</f>
        <v>0</v>
      </c>
      <c r="K330" s="32" t="b">
        <f aca="false">FALSE()</f>
        <v>0</v>
      </c>
      <c r="L330" s="32" t="b">
        <f aca="false">FALSE()</f>
        <v>0</v>
      </c>
      <c r="M330" s="32" t="b">
        <f aca="false">FALSE()</f>
        <v>0</v>
      </c>
      <c r="N330" s="6" t="str">
        <f aca="false">IF(OR(AND(B330=2024,C330&gt;=43),AND(B330=2025,C330&lt;=13)),"Temporada 2024-25",IF(AND(B330=2025,C330&gt;=36,C330&lt;=42),"Sep-oct 2025","Resto del año"))</f>
        <v>Temporada 2024-25</v>
      </c>
    </row>
    <row r="331" customFormat="false" ht="15" hidden="false" customHeight="false" outlineLevel="0" collapsed="false">
      <c r="A331" s="7" t="s">
        <v>47</v>
      </c>
      <c r="B331" s="7" t="n">
        <v>2024</v>
      </c>
      <c r="C331" s="7" t="n">
        <v>48</v>
      </c>
      <c r="D331" s="7" t="n">
        <v>11</v>
      </c>
      <c r="E331" s="20" t="n">
        <v>13007</v>
      </c>
      <c r="F331" s="20" t="n">
        <v>15651</v>
      </c>
      <c r="G331" s="20" t="n">
        <v>84093</v>
      </c>
      <c r="H331" s="20" t="n">
        <v>83272</v>
      </c>
      <c r="I331" s="31" t="n">
        <v>0.8781</v>
      </c>
      <c r="J331" s="32" t="b">
        <f aca="false">FALSE()</f>
        <v>0</v>
      </c>
      <c r="K331" s="32" t="b">
        <f aca="false">FALSE()</f>
        <v>0</v>
      </c>
      <c r="L331" s="32" t="b">
        <f aca="false">FALSE()</f>
        <v>0</v>
      </c>
      <c r="M331" s="32" t="b">
        <f aca="false">FALSE()</f>
        <v>0</v>
      </c>
      <c r="N331" s="6" t="str">
        <f aca="false">IF(OR(AND(B331=2024,C331&gt;=43),AND(B331=2025,C331&lt;=13)),"Temporada 2024-25",IF(AND(B331=2025,C331&gt;=36,C331&lt;=42),"Sep-oct 2025","Resto del año"))</f>
        <v>Temporada 2024-25</v>
      </c>
    </row>
    <row r="332" customFormat="false" ht="15" hidden="false" customHeight="false" outlineLevel="0" collapsed="false">
      <c r="A332" s="7" t="s">
        <v>47</v>
      </c>
      <c r="B332" s="7" t="n">
        <v>2024</v>
      </c>
      <c r="C332" s="7" t="n">
        <v>49</v>
      </c>
      <c r="D332" s="7" t="n">
        <v>12</v>
      </c>
      <c r="E332" s="20" t="n">
        <v>11447</v>
      </c>
      <c r="F332" s="20" t="n">
        <v>14991</v>
      </c>
      <c r="G332" s="20" t="n">
        <v>79941</v>
      </c>
      <c r="H332" s="20" t="n">
        <v>81903</v>
      </c>
      <c r="I332" s="31" t="n">
        <v>0.9153</v>
      </c>
      <c r="J332" s="32" t="b">
        <f aca="false">FALSE()</f>
        <v>0</v>
      </c>
      <c r="K332" s="32" t="b">
        <f aca="false">FALSE()</f>
        <v>0</v>
      </c>
      <c r="L332" s="32" t="b">
        <f aca="false">FALSE()</f>
        <v>0</v>
      </c>
      <c r="M332" s="32" t="b">
        <f aca="false">FALSE()</f>
        <v>0</v>
      </c>
      <c r="N332" s="6" t="str">
        <f aca="false">IF(OR(AND(B332=2024,C332&gt;=43),AND(B332=2025,C332&lt;=13)),"Temporada 2024-25",IF(AND(B332=2025,C332&gt;=36,C332&lt;=42),"Sep-oct 2025","Resto del año"))</f>
        <v>Temporada 2024-25</v>
      </c>
    </row>
    <row r="333" customFormat="false" ht="15" hidden="false" customHeight="false" outlineLevel="0" collapsed="false">
      <c r="A333" s="7" t="s">
        <v>47</v>
      </c>
      <c r="B333" s="7" t="n">
        <v>2024</v>
      </c>
      <c r="C333" s="7" t="n">
        <v>50</v>
      </c>
      <c r="D333" s="7" t="n">
        <v>12</v>
      </c>
      <c r="E333" s="20" t="n">
        <v>12918</v>
      </c>
      <c r="F333" s="20" t="n">
        <v>15173</v>
      </c>
      <c r="G333" s="20" t="n">
        <v>87128</v>
      </c>
      <c r="H333" s="20" t="n">
        <v>89974</v>
      </c>
      <c r="I333" s="31" t="n">
        <v>0.9429</v>
      </c>
      <c r="J333" s="32" t="b">
        <f aca="false">FALSE()</f>
        <v>0</v>
      </c>
      <c r="K333" s="32" t="b">
        <f aca="false">FALSE()</f>
        <v>0</v>
      </c>
      <c r="L333" s="32" t="b">
        <f aca="false">FALSE()</f>
        <v>0</v>
      </c>
      <c r="M333" s="32" t="b">
        <f aca="false">FALSE()</f>
        <v>0</v>
      </c>
      <c r="N333" s="6" t="str">
        <f aca="false">IF(OR(AND(B333=2024,C333&gt;=43),AND(B333=2025,C333&lt;=13)),"Temporada 2024-25",IF(AND(B333=2025,C333&gt;=36,C333&lt;=42),"Sep-oct 2025","Resto del año"))</f>
        <v>Temporada 2024-25</v>
      </c>
    </row>
    <row r="334" customFormat="false" ht="15" hidden="false" customHeight="false" outlineLevel="0" collapsed="false">
      <c r="A334" s="7" t="s">
        <v>47</v>
      </c>
      <c r="B334" s="7" t="n">
        <v>2024</v>
      </c>
      <c r="C334" s="7" t="n">
        <v>51</v>
      </c>
      <c r="D334" s="7" t="n">
        <v>12</v>
      </c>
      <c r="E334" s="20" t="n">
        <v>14403</v>
      </c>
      <c r="F334" s="20" t="n">
        <v>13966</v>
      </c>
      <c r="G334" s="20" t="n">
        <v>89726</v>
      </c>
      <c r="H334" s="20" t="n">
        <v>93185</v>
      </c>
      <c r="I334" s="31" t="n">
        <v>0.9373</v>
      </c>
      <c r="J334" s="32" t="b">
        <f aca="false">FALSE()</f>
        <v>0</v>
      </c>
      <c r="K334" s="32" t="b">
        <f aca="false">FALSE()</f>
        <v>0</v>
      </c>
      <c r="L334" s="32" t="b">
        <f aca="false">FALSE()</f>
        <v>0</v>
      </c>
      <c r="M334" s="32" t="b">
        <f aca="false">FALSE()</f>
        <v>0</v>
      </c>
      <c r="N334" s="6" t="str">
        <f aca="false">IF(OR(AND(B334=2024,C334&gt;=43),AND(B334=2025,C334&lt;=13)),"Temporada 2024-25",IF(AND(B334=2025,C334&gt;=36,C334&lt;=42),"Sep-oct 2025","Resto del año"))</f>
        <v>Temporada 2024-25</v>
      </c>
    </row>
    <row r="335" customFormat="false" ht="15" hidden="false" customHeight="false" outlineLevel="0" collapsed="false">
      <c r="A335" s="7" t="s">
        <v>47</v>
      </c>
      <c r="B335" s="7" t="n">
        <v>2024</v>
      </c>
      <c r="C335" s="7" t="n">
        <v>52</v>
      </c>
      <c r="D335" s="7" t="n">
        <v>12</v>
      </c>
      <c r="E335" s="20" t="n">
        <v>10144</v>
      </c>
      <c r="F335" s="20" t="n">
        <v>11488</v>
      </c>
      <c r="G335" s="20" t="n">
        <v>89686</v>
      </c>
      <c r="H335" s="20" t="n">
        <v>88355</v>
      </c>
      <c r="I335" s="31" t="n">
        <v>0.8978</v>
      </c>
      <c r="J335" s="32" t="b">
        <f aca="false">FALSE()</f>
        <v>0</v>
      </c>
      <c r="K335" s="32" t="b">
        <f aca="false">FALSE()</f>
        <v>0</v>
      </c>
      <c r="L335" s="32" t="b">
        <f aca="false">FALSE()</f>
        <v>0</v>
      </c>
      <c r="M335" s="32" t="b">
        <f aca="false">FALSE()</f>
        <v>0</v>
      </c>
      <c r="N335" s="6" t="str">
        <f aca="false">IF(OR(AND(B335=2024,C335&gt;=43),AND(B335=2025,C335&lt;=13)),"Temporada 2024-25",IF(AND(B335=2025,C335&gt;=36,C335&lt;=42),"Sep-oct 2025","Resto del año"))</f>
        <v>Temporada 2024-25</v>
      </c>
    </row>
    <row r="336" customFormat="false" ht="15" hidden="false" customHeight="false" outlineLevel="0" collapsed="false">
      <c r="A336" s="7" t="s">
        <v>47</v>
      </c>
      <c r="B336" s="7" t="n">
        <v>2025</v>
      </c>
      <c r="C336" s="7" t="n">
        <v>1</v>
      </c>
      <c r="D336" s="7" t="n">
        <v>12</v>
      </c>
      <c r="E336" s="20" t="n">
        <v>11389</v>
      </c>
      <c r="F336" s="20" t="n">
        <v>11098</v>
      </c>
      <c r="G336" s="20" t="n">
        <v>91247</v>
      </c>
      <c r="H336" s="20" t="n">
        <v>89887</v>
      </c>
      <c r="I336" s="31" t="n">
        <v>0.858</v>
      </c>
      <c r="J336" s="32" t="b">
        <f aca="false">FALSE()</f>
        <v>0</v>
      </c>
      <c r="K336" s="32" t="b">
        <f aca="false">FALSE()</f>
        <v>0</v>
      </c>
      <c r="L336" s="32" t="b">
        <f aca="false">FALSE()</f>
        <v>0</v>
      </c>
      <c r="M336" s="32" t="b">
        <f aca="false">FALSE()</f>
        <v>0</v>
      </c>
      <c r="N336" s="6" t="str">
        <f aca="false">IF(OR(AND(B336=2024,C336&gt;=43),AND(B336=2025,C336&lt;=13)),"Temporada 2024-25",IF(AND(B336=2025,C336&gt;=36,C336&lt;=42),"Sep-oct 2025","Resto del año"))</f>
        <v>Temporada 2024-25</v>
      </c>
    </row>
    <row r="337" customFormat="false" ht="15" hidden="false" customHeight="false" outlineLevel="0" collapsed="false">
      <c r="A337" s="7" t="s">
        <v>47</v>
      </c>
      <c r="B337" s="7" t="n">
        <v>2025</v>
      </c>
      <c r="C337" s="7" t="n">
        <v>2</v>
      </c>
      <c r="D337" s="7" t="n">
        <v>1</v>
      </c>
      <c r="E337" s="20" t="n">
        <v>9248</v>
      </c>
      <c r="F337" s="20" t="n">
        <v>9616</v>
      </c>
      <c r="G337" s="20" t="n">
        <v>82705</v>
      </c>
      <c r="H337" s="20" t="n">
        <v>84649</v>
      </c>
      <c r="I337" s="31" t="n">
        <v>0.8104</v>
      </c>
      <c r="J337" s="32" t="b">
        <f aca="false">FALSE()</f>
        <v>0</v>
      </c>
      <c r="K337" s="32" t="b">
        <f aca="false">FALSE()</f>
        <v>0</v>
      </c>
      <c r="L337" s="32" t="b">
        <f aca="false">FALSE()</f>
        <v>0</v>
      </c>
      <c r="M337" s="32" t="b">
        <f aca="false">FALSE()</f>
        <v>0</v>
      </c>
      <c r="N337" s="6" t="str">
        <f aca="false">IF(OR(AND(B337=2024,C337&gt;=43),AND(B337=2025,C337&lt;=13)),"Temporada 2024-25",IF(AND(B337=2025,C337&gt;=36,C337&lt;=42),"Sep-oct 2025","Resto del año"))</f>
        <v>Temporada 2024-25</v>
      </c>
    </row>
    <row r="338" customFormat="false" ht="15" hidden="false" customHeight="false" outlineLevel="0" collapsed="false">
      <c r="A338" s="7" t="s">
        <v>47</v>
      </c>
      <c r="B338" s="7" t="n">
        <v>2025</v>
      </c>
      <c r="C338" s="7" t="n">
        <v>3</v>
      </c>
      <c r="D338" s="7" t="n">
        <v>1</v>
      </c>
      <c r="E338" s="20" t="n">
        <v>7340</v>
      </c>
      <c r="F338" s="20" t="n">
        <v>7193</v>
      </c>
      <c r="G338" s="20" t="n">
        <v>74686</v>
      </c>
      <c r="H338" s="20" t="n">
        <v>75037</v>
      </c>
      <c r="I338" s="31" t="n">
        <v>0.7401</v>
      </c>
      <c r="J338" s="32" t="b">
        <f aca="false">FALSE()</f>
        <v>0</v>
      </c>
      <c r="K338" s="32" t="b">
        <f aca="false">FALSE()</f>
        <v>0</v>
      </c>
      <c r="L338" s="32" t="b">
        <f aca="false">FALSE()</f>
        <v>0</v>
      </c>
      <c r="M338" s="32" t="b">
        <f aca="false">FALSE()</f>
        <v>0</v>
      </c>
      <c r="N338" s="6" t="str">
        <f aca="false">IF(OR(AND(B338=2024,C338&gt;=43),AND(B338=2025,C338&lt;=13)),"Temporada 2024-25",IF(AND(B338=2025,C338&gt;=36,C338&lt;=42),"Sep-oct 2025","Resto del año"))</f>
        <v>Temporada 2024-25</v>
      </c>
    </row>
    <row r="339" customFormat="false" ht="15" hidden="false" customHeight="false" outlineLevel="0" collapsed="false">
      <c r="A339" s="7" t="s">
        <v>47</v>
      </c>
      <c r="B339" s="7" t="n">
        <v>2025</v>
      </c>
      <c r="C339" s="7" t="n">
        <v>4</v>
      </c>
      <c r="D339" s="7" t="n">
        <v>1</v>
      </c>
      <c r="E339" s="20" t="n">
        <v>8217</v>
      </c>
      <c r="F339" s="20" t="n">
        <v>8747</v>
      </c>
      <c r="G339" s="20" t="n">
        <v>86187</v>
      </c>
      <c r="H339" s="20" t="n">
        <v>79616</v>
      </c>
      <c r="I339" s="31" t="n">
        <v>0.6917</v>
      </c>
      <c r="J339" s="32" t="b">
        <f aca="false">FALSE()</f>
        <v>0</v>
      </c>
      <c r="K339" s="32" t="b">
        <f aca="false">FALSE()</f>
        <v>0</v>
      </c>
      <c r="L339" s="32" t="b">
        <f aca="false">FALSE()</f>
        <v>0</v>
      </c>
      <c r="M339" s="32" t="b">
        <f aca="false">FALSE()</f>
        <v>0</v>
      </c>
      <c r="N339" s="6" t="str">
        <f aca="false">IF(OR(AND(B339=2024,C339&gt;=43),AND(B339=2025,C339&lt;=13)),"Temporada 2024-25",IF(AND(B339=2025,C339&gt;=36,C339&lt;=42),"Sep-oct 2025","Resto del año"))</f>
        <v>Temporada 2024-25</v>
      </c>
    </row>
    <row r="340" customFormat="false" ht="15" hidden="false" customHeight="false" outlineLevel="0" collapsed="false">
      <c r="A340" s="7" t="s">
        <v>47</v>
      </c>
      <c r="B340" s="7" t="n">
        <v>2025</v>
      </c>
      <c r="C340" s="7" t="n">
        <v>5</v>
      </c>
      <c r="D340" s="7" t="n">
        <v>1</v>
      </c>
      <c r="E340" s="20" t="n">
        <v>10213</v>
      </c>
      <c r="F340" s="20" t="n">
        <v>10206</v>
      </c>
      <c r="G340" s="20" t="n">
        <v>84676</v>
      </c>
      <c r="H340" s="20" t="n">
        <v>86154</v>
      </c>
      <c r="I340" s="31" t="n">
        <v>0.6456</v>
      </c>
      <c r="J340" s="32" t="b">
        <f aca="false">FALSE()</f>
        <v>0</v>
      </c>
      <c r="K340" s="32" t="b">
        <f aca="false">FALSE()</f>
        <v>0</v>
      </c>
      <c r="L340" s="32" t="b">
        <f aca="false">FALSE()</f>
        <v>0</v>
      </c>
      <c r="M340" s="32" t="b">
        <f aca="false">FALSE()</f>
        <v>0</v>
      </c>
      <c r="N340" s="6" t="str">
        <f aca="false">IF(OR(AND(B340=2024,C340&gt;=43),AND(B340=2025,C340&lt;=13)),"Temporada 2024-25",IF(AND(B340=2025,C340&gt;=36,C340&lt;=42),"Sep-oct 2025","Resto del año"))</f>
        <v>Temporada 2024-25</v>
      </c>
    </row>
    <row r="341" customFormat="false" ht="15" hidden="false" customHeight="false" outlineLevel="0" collapsed="false">
      <c r="A341" s="7" t="s">
        <v>47</v>
      </c>
      <c r="B341" s="7" t="n">
        <v>2025</v>
      </c>
      <c r="C341" s="7" t="n">
        <v>6</v>
      </c>
      <c r="D341" s="7" t="n">
        <v>2</v>
      </c>
      <c r="E341" s="20" t="n">
        <v>11667</v>
      </c>
      <c r="F341" s="20" t="n">
        <v>11183</v>
      </c>
      <c r="G341" s="20" t="n">
        <v>85977</v>
      </c>
      <c r="H341" s="20" t="n">
        <v>86549</v>
      </c>
      <c r="I341" s="31" t="n">
        <v>0.6395</v>
      </c>
      <c r="J341" s="32" t="b">
        <f aca="false">FALSE()</f>
        <v>0</v>
      </c>
      <c r="K341" s="32" t="b">
        <f aca="false">FALSE()</f>
        <v>0</v>
      </c>
      <c r="L341" s="32" t="b">
        <f aca="false">FALSE()</f>
        <v>0</v>
      </c>
      <c r="M341" s="32" t="b">
        <f aca="false">FALSE()</f>
        <v>0</v>
      </c>
      <c r="N341" s="6" t="str">
        <f aca="false">IF(OR(AND(B341=2024,C341&gt;=43),AND(B341=2025,C341&lt;=13)),"Temporada 2024-25",IF(AND(B341=2025,C341&gt;=36,C341&lt;=42),"Sep-oct 2025","Resto del año"))</f>
        <v>Temporada 2024-25</v>
      </c>
    </row>
    <row r="342" customFormat="false" ht="15" hidden="false" customHeight="false" outlineLevel="0" collapsed="false">
      <c r="A342" s="7" t="s">
        <v>47</v>
      </c>
      <c r="B342" s="7" t="n">
        <v>2025</v>
      </c>
      <c r="C342" s="7" t="n">
        <v>7</v>
      </c>
      <c r="D342" s="7" t="n">
        <v>2</v>
      </c>
      <c r="E342" s="20" t="n">
        <v>10899</v>
      </c>
      <c r="F342" s="20" t="n">
        <v>11270</v>
      </c>
      <c r="G342" s="20" t="n">
        <v>86098</v>
      </c>
      <c r="H342" s="20" t="n">
        <v>84471</v>
      </c>
      <c r="I342" s="31" t="n">
        <v>0.6345</v>
      </c>
      <c r="J342" s="32" t="b">
        <f aca="false">FALSE()</f>
        <v>0</v>
      </c>
      <c r="K342" s="32" t="b">
        <f aca="false">FALSE()</f>
        <v>0</v>
      </c>
      <c r="L342" s="32" t="b">
        <f aca="false">FALSE()</f>
        <v>0</v>
      </c>
      <c r="M342" s="32" t="b">
        <f aca="false">FALSE()</f>
        <v>0</v>
      </c>
      <c r="N342" s="6" t="str">
        <f aca="false">IF(OR(AND(B342=2024,C342&gt;=43),AND(B342=2025,C342&lt;=13)),"Temporada 2024-25",IF(AND(B342=2025,C342&gt;=36,C342&lt;=42),"Sep-oct 2025","Resto del año"))</f>
        <v>Temporada 2024-25</v>
      </c>
    </row>
    <row r="343" customFormat="false" ht="15" hidden="false" customHeight="false" outlineLevel="0" collapsed="false">
      <c r="A343" s="7" t="s">
        <v>47</v>
      </c>
      <c r="B343" s="7" t="n">
        <v>2025</v>
      </c>
      <c r="C343" s="7" t="n">
        <v>8</v>
      </c>
      <c r="D343" s="7" t="n">
        <v>2</v>
      </c>
      <c r="E343" s="20" t="n">
        <v>12536</v>
      </c>
      <c r="F343" s="20" t="n">
        <v>12735</v>
      </c>
      <c r="G343" s="20" t="n">
        <v>98867</v>
      </c>
      <c r="H343" s="20" t="n">
        <v>95508</v>
      </c>
      <c r="I343" s="31" t="n">
        <v>0.637</v>
      </c>
      <c r="J343" s="32" t="b">
        <f aca="false">FALSE()</f>
        <v>0</v>
      </c>
      <c r="K343" s="32" t="b">
        <f aca="false">TRUE()</f>
        <v>1</v>
      </c>
      <c r="L343" s="32" t="b">
        <f aca="false">FALSE()</f>
        <v>0</v>
      </c>
      <c r="M343" s="32" t="b">
        <f aca="false">FALSE()</f>
        <v>0</v>
      </c>
      <c r="N343" s="6" t="str">
        <f aca="false">IF(OR(AND(B343=2024,C343&gt;=43),AND(B343=2025,C343&lt;=13)),"Temporada 2024-25",IF(AND(B343=2025,C343&gt;=36,C343&lt;=42),"Sep-oct 2025","Resto del año"))</f>
        <v>Temporada 2024-25</v>
      </c>
    </row>
    <row r="344" customFormat="false" ht="15" hidden="false" customHeight="false" outlineLevel="0" collapsed="false">
      <c r="A344" s="7" t="s">
        <v>47</v>
      </c>
      <c r="B344" s="7" t="n">
        <v>2025</v>
      </c>
      <c r="C344" s="7" t="n">
        <v>9</v>
      </c>
      <c r="D344" s="7" t="n">
        <v>2</v>
      </c>
      <c r="E344" s="20" t="n">
        <v>12170</v>
      </c>
      <c r="F344" s="20" t="n">
        <v>13000</v>
      </c>
      <c r="G344" s="20" t="n">
        <v>90322</v>
      </c>
      <c r="H344" s="20" t="n">
        <v>88313</v>
      </c>
      <c r="I344" s="31" t="n">
        <v>0.6395</v>
      </c>
      <c r="J344" s="32" t="b">
        <f aca="false">FALSE()</f>
        <v>0</v>
      </c>
      <c r="K344" s="32" t="b">
        <f aca="false">FALSE()</f>
        <v>0</v>
      </c>
      <c r="L344" s="32" t="b">
        <f aca="false">FALSE()</f>
        <v>0</v>
      </c>
      <c r="M344" s="32" t="b">
        <f aca="false">FALSE()</f>
        <v>0</v>
      </c>
      <c r="N344" s="6" t="str">
        <f aca="false">IF(OR(AND(B344=2024,C344&gt;=43),AND(B344=2025,C344&lt;=13)),"Temporada 2024-25",IF(AND(B344=2025,C344&gt;=36,C344&lt;=42),"Sep-oct 2025","Resto del año"))</f>
        <v>Temporada 2024-25</v>
      </c>
    </row>
    <row r="345" customFormat="false" ht="15" hidden="false" customHeight="false" outlineLevel="0" collapsed="false">
      <c r="A345" s="7" t="s">
        <v>47</v>
      </c>
      <c r="B345" s="7" t="n">
        <v>2025</v>
      </c>
      <c r="C345" s="7" t="n">
        <v>10</v>
      </c>
      <c r="D345" s="7" t="n">
        <v>3</v>
      </c>
      <c r="E345" s="20" t="n">
        <v>12919</v>
      </c>
      <c r="F345" s="20" t="n">
        <v>12766</v>
      </c>
      <c r="G345" s="20" t="n">
        <v>88069</v>
      </c>
      <c r="H345" s="20" t="n">
        <v>89265</v>
      </c>
      <c r="I345" s="31" t="n">
        <v>0.6458</v>
      </c>
      <c r="J345" s="32" t="b">
        <f aca="false">FALSE()</f>
        <v>0</v>
      </c>
      <c r="K345" s="32" t="b">
        <f aca="false">FALSE()</f>
        <v>0</v>
      </c>
      <c r="L345" s="32" t="b">
        <f aca="false">FALSE()</f>
        <v>0</v>
      </c>
      <c r="M345" s="32" t="b">
        <f aca="false">FALSE()</f>
        <v>0</v>
      </c>
      <c r="N345" s="6" t="str">
        <f aca="false">IF(OR(AND(B345=2024,C345&gt;=43),AND(B345=2025,C345&lt;=13)),"Temporada 2024-25",IF(AND(B345=2025,C345&gt;=36,C345&lt;=42),"Sep-oct 2025","Resto del año"))</f>
        <v>Temporada 2024-25</v>
      </c>
    </row>
    <row r="346" customFormat="false" ht="15" hidden="false" customHeight="false" outlineLevel="0" collapsed="false">
      <c r="A346" s="7" t="s">
        <v>47</v>
      </c>
      <c r="B346" s="7" t="n">
        <v>2025</v>
      </c>
      <c r="C346" s="7" t="n">
        <v>11</v>
      </c>
      <c r="D346" s="7" t="n">
        <v>3</v>
      </c>
      <c r="E346" s="20" t="n">
        <v>14069</v>
      </c>
      <c r="F346" s="20" t="n">
        <v>13397</v>
      </c>
      <c r="G346" s="20" t="n">
        <v>95143</v>
      </c>
      <c r="H346" s="20" t="n">
        <v>92834</v>
      </c>
      <c r="I346" s="31" t="n">
        <v>0.6563</v>
      </c>
      <c r="J346" s="32" t="b">
        <f aca="false">FALSE()</f>
        <v>0</v>
      </c>
      <c r="K346" s="32" t="b">
        <f aca="false">FALSE()</f>
        <v>0</v>
      </c>
      <c r="L346" s="32" t="b">
        <f aca="false">FALSE()</f>
        <v>0</v>
      </c>
      <c r="M346" s="32" t="b">
        <f aca="false">FALSE()</f>
        <v>0</v>
      </c>
      <c r="N346" s="6" t="str">
        <f aca="false">IF(OR(AND(B346=2024,C346&gt;=43),AND(B346=2025,C346&lt;=13)),"Temporada 2024-25",IF(AND(B346=2025,C346&gt;=36,C346&lt;=42),"Sep-oct 2025","Resto del año"))</f>
        <v>Temporada 2024-25</v>
      </c>
    </row>
    <row r="347" customFormat="false" ht="15" hidden="false" customHeight="false" outlineLevel="0" collapsed="false">
      <c r="A347" s="7" t="s">
        <v>47</v>
      </c>
      <c r="B347" s="7" t="n">
        <v>2025</v>
      </c>
      <c r="C347" s="7" t="n">
        <v>12</v>
      </c>
      <c r="D347" s="7" t="n">
        <v>3</v>
      </c>
      <c r="E347" s="20" t="n">
        <v>11809</v>
      </c>
      <c r="F347" s="20" t="n">
        <v>12808</v>
      </c>
      <c r="G347" s="20" t="n">
        <v>95466</v>
      </c>
      <c r="H347" s="20" t="n">
        <v>93919</v>
      </c>
      <c r="I347" s="31" t="n">
        <v>0.6502</v>
      </c>
      <c r="J347" s="32" t="b">
        <f aca="false">FALSE()</f>
        <v>0</v>
      </c>
      <c r="K347" s="32" t="b">
        <f aca="false">FALSE()</f>
        <v>0</v>
      </c>
      <c r="L347" s="32" t="b">
        <f aca="false">FALSE()</f>
        <v>0</v>
      </c>
      <c r="M347" s="32" t="b">
        <f aca="false">FALSE()</f>
        <v>0</v>
      </c>
      <c r="N347" s="6" t="str">
        <f aca="false">IF(OR(AND(B347=2024,C347&gt;=43),AND(B347=2025,C347&lt;=13)),"Temporada 2024-25",IF(AND(B347=2025,C347&gt;=36,C347&lt;=42),"Sep-oct 2025","Resto del año"))</f>
        <v>Temporada 2024-25</v>
      </c>
    </row>
    <row r="348" customFormat="false" ht="15" hidden="false" customHeight="false" outlineLevel="0" collapsed="false">
      <c r="A348" s="7" t="s">
        <v>47</v>
      </c>
      <c r="B348" s="7" t="n">
        <v>2025</v>
      </c>
      <c r="C348" s="7" t="n">
        <v>13</v>
      </c>
      <c r="D348" s="7" t="n">
        <v>3</v>
      </c>
      <c r="E348" s="20" t="n">
        <v>12248</v>
      </c>
      <c r="F348" s="20" t="n">
        <v>12217</v>
      </c>
      <c r="G348" s="20" t="n">
        <v>85650</v>
      </c>
      <c r="H348" s="20" t="n">
        <v>87470</v>
      </c>
      <c r="I348" s="31" t="n">
        <v>0.6545</v>
      </c>
      <c r="J348" s="32" t="b">
        <f aca="false">FALSE()</f>
        <v>0</v>
      </c>
      <c r="K348" s="32" t="b">
        <f aca="false">FALSE()</f>
        <v>0</v>
      </c>
      <c r="L348" s="32" t="b">
        <f aca="false">FALSE()</f>
        <v>0</v>
      </c>
      <c r="M348" s="32" t="b">
        <f aca="false">FALSE()</f>
        <v>0</v>
      </c>
      <c r="N348" s="6" t="str">
        <f aca="false">IF(OR(AND(B348=2024,C348&gt;=43),AND(B348=2025,C348&lt;=13)),"Temporada 2024-25",IF(AND(B348=2025,C348&gt;=36,C348&lt;=42),"Sep-oct 2025","Resto del año"))</f>
        <v>Temporada 2024-25</v>
      </c>
    </row>
    <row r="349" customFormat="false" ht="15" hidden="false" customHeight="false" outlineLevel="0" collapsed="false">
      <c r="A349" s="7" t="s">
        <v>47</v>
      </c>
      <c r="B349" s="7" t="n">
        <v>2025</v>
      </c>
      <c r="C349" s="7" t="n">
        <v>14</v>
      </c>
      <c r="D349" s="7" t="n">
        <v>3</v>
      </c>
      <c r="E349" s="20" t="n">
        <v>11827</v>
      </c>
      <c r="F349" s="20" t="n">
        <v>12735</v>
      </c>
      <c r="G349" s="20" t="n">
        <v>87871</v>
      </c>
      <c r="H349" s="20" t="n">
        <v>88334</v>
      </c>
      <c r="I349" s="31" t="n">
        <v>0.6609</v>
      </c>
      <c r="J349" s="32" t="b">
        <f aca="false">FALSE()</f>
        <v>0</v>
      </c>
      <c r="K349" s="32" t="b">
        <f aca="false">FALSE()</f>
        <v>0</v>
      </c>
      <c r="L349" s="32" t="b">
        <f aca="false">FALSE()</f>
        <v>0</v>
      </c>
      <c r="M349" s="32" t="b">
        <f aca="false">FALSE()</f>
        <v>0</v>
      </c>
      <c r="N349" s="6" t="str">
        <f aca="false">IF(OR(AND(B349=2024,C349&gt;=43),AND(B349=2025,C349&lt;=13)),"Temporada 2024-25",IF(AND(B349=2025,C349&gt;=36,C349&lt;=42),"Sep-oct 2025","Resto del año"))</f>
        <v>Resto del año</v>
      </c>
    </row>
    <row r="350" customFormat="false" ht="15" hidden="false" customHeight="false" outlineLevel="0" collapsed="false">
      <c r="A350" s="7" t="s">
        <v>47</v>
      </c>
      <c r="B350" s="7" t="n">
        <v>2025</v>
      </c>
      <c r="C350" s="7" t="n">
        <v>15</v>
      </c>
      <c r="D350" s="7" t="n">
        <v>4</v>
      </c>
      <c r="E350" s="20" t="n">
        <v>15067</v>
      </c>
      <c r="F350" s="20" t="n">
        <v>14557</v>
      </c>
      <c r="G350" s="20" t="n">
        <v>103427</v>
      </c>
      <c r="H350" s="20" t="n">
        <v>100932</v>
      </c>
      <c r="I350" s="31" t="n">
        <v>0.6652</v>
      </c>
      <c r="J350" s="32" t="b">
        <f aca="false">FALSE()</f>
        <v>0</v>
      </c>
      <c r="K350" s="32" t="b">
        <f aca="false">FALSE()</f>
        <v>0</v>
      </c>
      <c r="L350" s="32" t="b">
        <f aca="false">FALSE()</f>
        <v>0</v>
      </c>
      <c r="M350" s="32" t="b">
        <f aca="false">FALSE()</f>
        <v>0</v>
      </c>
      <c r="N350" s="6" t="str">
        <f aca="false">IF(OR(AND(B350=2024,C350&gt;=43),AND(B350=2025,C350&lt;=13)),"Temporada 2024-25",IF(AND(B350=2025,C350&gt;=36,C350&lt;=42),"Sep-oct 2025","Resto del año"))</f>
        <v>Resto del año</v>
      </c>
    </row>
    <row r="351" customFormat="false" ht="15" hidden="false" customHeight="false" outlineLevel="0" collapsed="false">
      <c r="A351" s="7" t="s">
        <v>47</v>
      </c>
      <c r="B351" s="7" t="n">
        <v>2025</v>
      </c>
      <c r="C351" s="7" t="n">
        <v>16</v>
      </c>
      <c r="D351" s="7" t="n">
        <v>4</v>
      </c>
      <c r="E351" s="20" t="n">
        <v>13292</v>
      </c>
      <c r="F351" s="20" t="n">
        <v>12122</v>
      </c>
      <c r="G351" s="20" t="n">
        <v>87190</v>
      </c>
      <c r="H351" s="20" t="n">
        <v>89737</v>
      </c>
      <c r="I351" s="31" t="n">
        <v>0.6556</v>
      </c>
      <c r="J351" s="32" t="b">
        <f aca="false">FALSE()</f>
        <v>0</v>
      </c>
      <c r="K351" s="32" t="b">
        <f aca="false">FALSE()</f>
        <v>0</v>
      </c>
      <c r="L351" s="32" t="b">
        <f aca="false">FALSE()</f>
        <v>0</v>
      </c>
      <c r="M351" s="32" t="b">
        <f aca="false">FALSE()</f>
        <v>0</v>
      </c>
      <c r="N351" s="6" t="str">
        <f aca="false">IF(OR(AND(B351=2024,C351&gt;=43),AND(B351=2025,C351&lt;=13)),"Temporada 2024-25",IF(AND(B351=2025,C351&gt;=36,C351&lt;=42),"Sep-oct 2025","Resto del año"))</f>
        <v>Resto del año</v>
      </c>
    </row>
    <row r="352" customFormat="false" ht="15" hidden="false" customHeight="false" outlineLevel="0" collapsed="false">
      <c r="A352" s="7" t="s">
        <v>47</v>
      </c>
      <c r="B352" s="7" t="n">
        <v>2025</v>
      </c>
      <c r="C352" s="7" t="n">
        <v>17</v>
      </c>
      <c r="D352" s="7" t="n">
        <v>4</v>
      </c>
      <c r="E352" s="20" t="n">
        <v>12358</v>
      </c>
      <c r="F352" s="20" t="n">
        <v>13282</v>
      </c>
      <c r="G352" s="20" t="n">
        <v>89335</v>
      </c>
      <c r="H352" s="20" t="n">
        <v>90439</v>
      </c>
      <c r="I352" s="31" t="n">
        <v>0.6685</v>
      </c>
      <c r="J352" s="32" t="b">
        <f aca="false">FALSE()</f>
        <v>0</v>
      </c>
      <c r="K352" s="32" t="b">
        <f aca="false">FALSE()</f>
        <v>0</v>
      </c>
      <c r="L352" s="32" t="b">
        <f aca="false">FALSE()</f>
        <v>0</v>
      </c>
      <c r="M352" s="32" t="b">
        <f aca="false">FALSE()</f>
        <v>0</v>
      </c>
      <c r="N352" s="6" t="str">
        <f aca="false">IF(OR(AND(B352=2024,C352&gt;=43),AND(B352=2025,C352&lt;=13)),"Temporada 2024-25",IF(AND(B352=2025,C352&gt;=36,C352&lt;=42),"Sep-oct 2025","Resto del año"))</f>
        <v>Resto del año</v>
      </c>
    </row>
    <row r="353" customFormat="false" ht="15" hidden="false" customHeight="false" outlineLevel="0" collapsed="false">
      <c r="A353" s="7" t="s">
        <v>47</v>
      </c>
      <c r="B353" s="7" t="n">
        <v>2025</v>
      </c>
      <c r="C353" s="7" t="n">
        <v>18</v>
      </c>
      <c r="D353" s="7" t="n">
        <v>4</v>
      </c>
      <c r="E353" s="20" t="n">
        <v>12401</v>
      </c>
      <c r="F353" s="20" t="n">
        <v>12504</v>
      </c>
      <c r="G353" s="20" t="n">
        <v>83424</v>
      </c>
      <c r="H353" s="20" t="n">
        <v>84757</v>
      </c>
      <c r="I353" s="31" t="n">
        <v>0.6759</v>
      </c>
      <c r="J353" s="32" t="b">
        <f aca="false">FALSE()</f>
        <v>0</v>
      </c>
      <c r="K353" s="32" t="b">
        <f aca="false">FALSE()</f>
        <v>0</v>
      </c>
      <c r="L353" s="32" t="b">
        <f aca="false">FALSE()</f>
        <v>0</v>
      </c>
      <c r="M353" s="32" t="b">
        <f aca="false">FALSE()</f>
        <v>0</v>
      </c>
      <c r="N353" s="6" t="str">
        <f aca="false">IF(OR(AND(B353=2024,C353&gt;=43),AND(B353=2025,C353&lt;=13)),"Temporada 2024-25",IF(AND(B353=2025,C353&gt;=36,C353&lt;=42),"Sep-oct 2025","Resto del año"))</f>
        <v>Resto del año</v>
      </c>
    </row>
    <row r="354" customFormat="false" ht="15" hidden="false" customHeight="false" outlineLevel="0" collapsed="false">
      <c r="A354" s="7" t="s">
        <v>47</v>
      </c>
      <c r="B354" s="7" t="n">
        <v>2025</v>
      </c>
      <c r="C354" s="7" t="n">
        <v>19</v>
      </c>
      <c r="D354" s="7" t="n">
        <v>5</v>
      </c>
      <c r="E354" s="20" t="n">
        <v>11290</v>
      </c>
      <c r="F354" s="20" t="n">
        <v>12537</v>
      </c>
      <c r="G354" s="20" t="n">
        <v>86485</v>
      </c>
      <c r="H354" s="20" t="n">
        <v>85393</v>
      </c>
      <c r="I354" s="31" t="n">
        <v>0.6903</v>
      </c>
      <c r="J354" s="32" t="b">
        <f aca="false">FALSE()</f>
        <v>0</v>
      </c>
      <c r="K354" s="32" t="b">
        <f aca="false">FALSE()</f>
        <v>0</v>
      </c>
      <c r="L354" s="32" t="b">
        <f aca="false">FALSE()</f>
        <v>0</v>
      </c>
      <c r="M354" s="32" t="b">
        <f aca="false">FALSE()</f>
        <v>0</v>
      </c>
      <c r="N354" s="6" t="str">
        <f aca="false">IF(OR(AND(B354=2024,C354&gt;=43),AND(B354=2025,C354&lt;=13)),"Temporada 2024-25",IF(AND(B354=2025,C354&gt;=36,C354&lt;=42),"Sep-oct 2025","Resto del año"))</f>
        <v>Resto del año</v>
      </c>
    </row>
    <row r="355" customFormat="false" ht="15" hidden="false" customHeight="false" outlineLevel="0" collapsed="false">
      <c r="A355" s="7" t="s">
        <v>47</v>
      </c>
      <c r="B355" s="7" t="n">
        <v>2025</v>
      </c>
      <c r="C355" s="7" t="n">
        <v>20</v>
      </c>
      <c r="D355" s="7" t="n">
        <v>5</v>
      </c>
      <c r="E355" s="20" t="n">
        <v>13339</v>
      </c>
      <c r="F355" s="20" t="n">
        <v>13893</v>
      </c>
      <c r="G355" s="20" t="n">
        <v>81071</v>
      </c>
      <c r="H355" s="20" t="n">
        <v>84527</v>
      </c>
      <c r="I355" s="31" t="n">
        <v>0.6912</v>
      </c>
      <c r="J355" s="32" t="b">
        <f aca="false">TRUE()</f>
        <v>1</v>
      </c>
      <c r="K355" s="32" t="b">
        <f aca="false">FALSE()</f>
        <v>0</v>
      </c>
      <c r="L355" s="32" t="b">
        <f aca="false">FALSE()</f>
        <v>0</v>
      </c>
      <c r="M355" s="32" t="b">
        <f aca="false">FALSE()</f>
        <v>0</v>
      </c>
      <c r="N355" s="6" t="str">
        <f aca="false">IF(OR(AND(B355=2024,C355&gt;=43),AND(B355=2025,C355&lt;=13)),"Temporada 2024-25",IF(AND(B355=2025,C355&gt;=36,C355&lt;=42),"Sep-oct 2025","Resto del año"))</f>
        <v>Resto del año</v>
      </c>
    </row>
    <row r="356" customFormat="false" ht="15" hidden="false" customHeight="false" outlineLevel="0" collapsed="false">
      <c r="A356" s="7" t="s">
        <v>47</v>
      </c>
      <c r="B356" s="7" t="n">
        <v>2025</v>
      </c>
      <c r="C356" s="7" t="n">
        <v>21</v>
      </c>
      <c r="D356" s="7" t="n">
        <v>5</v>
      </c>
      <c r="E356" s="20" t="n">
        <v>9823</v>
      </c>
      <c r="F356" s="20" t="n">
        <v>10231</v>
      </c>
      <c r="G356" s="20" t="n">
        <v>89492</v>
      </c>
      <c r="H356" s="20" t="n">
        <v>86969</v>
      </c>
      <c r="I356" s="31" t="n">
        <v>0.6666</v>
      </c>
      <c r="J356" s="32" t="b">
        <f aca="false">TRUE()</f>
        <v>1</v>
      </c>
      <c r="K356" s="32" t="b">
        <f aca="false">FALSE()</f>
        <v>0</v>
      </c>
      <c r="L356" s="32" t="b">
        <f aca="false">FALSE()</f>
        <v>0</v>
      </c>
      <c r="M356" s="32" t="b">
        <f aca="false">FALSE()</f>
        <v>0</v>
      </c>
      <c r="N356" s="6" t="str">
        <f aca="false">IF(OR(AND(B356=2024,C356&gt;=43),AND(B356=2025,C356&lt;=13)),"Temporada 2024-25",IF(AND(B356=2025,C356&gt;=36,C356&lt;=42),"Sep-oct 2025","Resto del año"))</f>
        <v>Resto del año</v>
      </c>
    </row>
    <row r="357" customFormat="false" ht="15" hidden="false" customHeight="false" outlineLevel="0" collapsed="false">
      <c r="A357" s="7" t="s">
        <v>47</v>
      </c>
      <c r="B357" s="7" t="n">
        <v>2025</v>
      </c>
      <c r="C357" s="7" t="n">
        <v>22</v>
      </c>
      <c r="D357" s="7" t="n">
        <v>5</v>
      </c>
      <c r="E357" s="20" t="n">
        <v>11756</v>
      </c>
      <c r="F357" s="20" t="n">
        <v>12244</v>
      </c>
      <c r="G357" s="20" t="n">
        <v>94182</v>
      </c>
      <c r="H357" s="20" t="n">
        <v>86728</v>
      </c>
      <c r="I357" s="31" t="n">
        <v>0.6448</v>
      </c>
      <c r="J357" s="32" t="b">
        <f aca="false">TRUE()</f>
        <v>1</v>
      </c>
      <c r="K357" s="32" t="b">
        <f aca="false">FALSE()</f>
        <v>0</v>
      </c>
      <c r="L357" s="32" t="b">
        <f aca="false">FALSE()</f>
        <v>0</v>
      </c>
      <c r="M357" s="32" t="b">
        <f aca="false">FALSE()</f>
        <v>0</v>
      </c>
      <c r="N357" s="6" t="str">
        <f aca="false">IF(OR(AND(B357=2024,C357&gt;=43),AND(B357=2025,C357&lt;=13)),"Temporada 2024-25",IF(AND(B357=2025,C357&gt;=36,C357&lt;=42),"Sep-oct 2025","Resto del año"))</f>
        <v>Resto del año</v>
      </c>
    </row>
    <row r="358" customFormat="false" ht="15" hidden="false" customHeight="false" outlineLevel="0" collapsed="false">
      <c r="A358" s="7" t="s">
        <v>47</v>
      </c>
      <c r="B358" s="7" t="n">
        <v>2025</v>
      </c>
      <c r="C358" s="7" t="n">
        <v>23</v>
      </c>
      <c r="D358" s="7" t="n">
        <v>6</v>
      </c>
      <c r="E358" s="20" t="n">
        <v>11416</v>
      </c>
      <c r="F358" s="20" t="n">
        <v>11890</v>
      </c>
      <c r="G358" s="20" t="n">
        <v>80281</v>
      </c>
      <c r="H358" s="20" t="n">
        <v>80144</v>
      </c>
      <c r="I358" s="31" t="n">
        <v>0.6491</v>
      </c>
      <c r="J358" s="32" t="b">
        <f aca="false">TRUE()</f>
        <v>1</v>
      </c>
      <c r="K358" s="32" t="b">
        <f aca="false">FALSE()</f>
        <v>0</v>
      </c>
      <c r="L358" s="32" t="b">
        <f aca="false">FALSE()</f>
        <v>0</v>
      </c>
      <c r="M358" s="32" t="b">
        <f aca="false">FALSE()</f>
        <v>0</v>
      </c>
      <c r="N358" s="6" t="str">
        <f aca="false">IF(OR(AND(B358=2024,C358&gt;=43),AND(B358=2025,C358&lt;=13)),"Temporada 2024-25",IF(AND(B358=2025,C358&gt;=36,C358&lt;=42),"Sep-oct 2025","Resto del año"))</f>
        <v>Resto del año</v>
      </c>
    </row>
    <row r="359" customFormat="false" ht="15" hidden="false" customHeight="false" outlineLevel="0" collapsed="false">
      <c r="A359" s="7" t="s">
        <v>47</v>
      </c>
      <c r="B359" s="7" t="n">
        <v>2025</v>
      </c>
      <c r="C359" s="7" t="n">
        <v>24</v>
      </c>
      <c r="D359" s="7" t="n">
        <v>6</v>
      </c>
      <c r="E359" s="20" t="n">
        <v>13880</v>
      </c>
      <c r="F359" s="20" t="n">
        <v>14457</v>
      </c>
      <c r="G359" s="20" t="n">
        <v>91448</v>
      </c>
      <c r="H359" s="20" t="n">
        <v>88643</v>
      </c>
      <c r="I359" s="31" t="n">
        <v>0.6585</v>
      </c>
      <c r="J359" s="32" t="b">
        <f aca="false">TRUE()</f>
        <v>1</v>
      </c>
      <c r="K359" s="32" t="b">
        <f aca="false">FALSE()</f>
        <v>0</v>
      </c>
      <c r="L359" s="32" t="b">
        <f aca="false">FALSE()</f>
        <v>0</v>
      </c>
      <c r="M359" s="32" t="b">
        <f aca="false">FALSE()</f>
        <v>0</v>
      </c>
      <c r="N359" s="6" t="str">
        <f aca="false">IF(OR(AND(B359=2024,C359&gt;=43),AND(B359=2025,C359&lt;=13)),"Temporada 2024-25",IF(AND(B359=2025,C359&gt;=36,C359&lt;=42),"Sep-oct 2025","Resto del año"))</f>
        <v>Resto del año</v>
      </c>
    </row>
    <row r="360" customFormat="false" ht="15" hidden="false" customHeight="false" outlineLevel="0" collapsed="false">
      <c r="A360" s="7" t="s">
        <v>47</v>
      </c>
      <c r="B360" s="7" t="n">
        <v>2025</v>
      </c>
      <c r="C360" s="7" t="n">
        <v>25</v>
      </c>
      <c r="D360" s="7" t="n">
        <v>6</v>
      </c>
      <c r="E360" s="20" t="n">
        <v>9459</v>
      </c>
      <c r="F360" s="20" t="n">
        <v>9852</v>
      </c>
      <c r="G360" s="20" t="n">
        <v>84970</v>
      </c>
      <c r="H360" s="20" t="n">
        <v>82942</v>
      </c>
      <c r="I360" s="31" t="n">
        <v>0.6494</v>
      </c>
      <c r="J360" s="32" t="b">
        <f aca="false">TRUE()</f>
        <v>1</v>
      </c>
      <c r="K360" s="32" t="b">
        <f aca="false">FALSE()</f>
        <v>0</v>
      </c>
      <c r="L360" s="32" t="b">
        <f aca="false">FALSE()</f>
        <v>0</v>
      </c>
      <c r="M360" s="32" t="b">
        <f aca="false">FALSE()</f>
        <v>0</v>
      </c>
      <c r="N360" s="6" t="str">
        <f aca="false">IF(OR(AND(B360=2024,C360&gt;=43),AND(B360=2025,C360&lt;=13)),"Temporada 2024-25",IF(AND(B360=2025,C360&gt;=36,C360&lt;=42),"Sep-oct 2025","Resto del año"))</f>
        <v>Resto del año</v>
      </c>
    </row>
    <row r="361" customFormat="false" ht="15" hidden="false" customHeight="false" outlineLevel="0" collapsed="false">
      <c r="A361" s="7" t="s">
        <v>47</v>
      </c>
      <c r="B361" s="7" t="n">
        <v>2025</v>
      </c>
      <c r="C361" s="7" t="n">
        <v>26</v>
      </c>
      <c r="D361" s="7" t="n">
        <v>6</v>
      </c>
      <c r="E361" s="20" t="n">
        <v>10047</v>
      </c>
      <c r="F361" s="20" t="n">
        <v>10464</v>
      </c>
      <c r="G361" s="20" t="n">
        <v>88248</v>
      </c>
      <c r="H361" s="20" t="n">
        <v>86920</v>
      </c>
      <c r="I361" s="31" t="n">
        <v>0.632</v>
      </c>
      <c r="J361" s="32" t="b">
        <f aca="false">TRUE()</f>
        <v>1</v>
      </c>
      <c r="K361" s="32" t="b">
        <f aca="false">FALSE()</f>
        <v>0</v>
      </c>
      <c r="L361" s="32" t="b">
        <f aca="false">FALSE()</f>
        <v>0</v>
      </c>
      <c r="M361" s="32" t="b">
        <f aca="false">FALSE()</f>
        <v>0</v>
      </c>
      <c r="N361" s="6" t="str">
        <f aca="false">IF(OR(AND(B361=2024,C361&gt;=43),AND(B361=2025,C361&lt;=13)),"Temporada 2024-25",IF(AND(B361=2025,C361&gt;=36,C361&lt;=42),"Sep-oct 2025","Resto del año"))</f>
        <v>Resto del año</v>
      </c>
    </row>
    <row r="362" customFormat="false" ht="15" hidden="false" customHeight="false" outlineLevel="0" collapsed="false">
      <c r="A362" s="7" t="s">
        <v>47</v>
      </c>
      <c r="B362" s="7" t="n">
        <v>2025</v>
      </c>
      <c r="C362" s="7" t="n">
        <v>27</v>
      </c>
      <c r="D362" s="7" t="n">
        <v>6</v>
      </c>
      <c r="E362" s="20" t="n">
        <v>11333</v>
      </c>
      <c r="F362" s="20" t="n">
        <v>11804</v>
      </c>
      <c r="G362" s="20" t="n">
        <v>87120</v>
      </c>
      <c r="H362" s="20" t="n">
        <v>83147</v>
      </c>
      <c r="I362" s="31" t="n">
        <v>0.6324</v>
      </c>
      <c r="J362" s="32" t="b">
        <f aca="false">TRUE()</f>
        <v>1</v>
      </c>
      <c r="K362" s="32" t="b">
        <f aca="false">FALSE()</f>
        <v>0</v>
      </c>
      <c r="L362" s="32" t="b">
        <f aca="false">FALSE()</f>
        <v>0</v>
      </c>
      <c r="M362" s="32" t="b">
        <f aca="false">FALSE()</f>
        <v>0</v>
      </c>
      <c r="N362" s="6" t="str">
        <f aca="false">IF(OR(AND(B362=2024,C362&gt;=43),AND(B362=2025,C362&lt;=13)),"Temporada 2024-25",IF(AND(B362=2025,C362&gt;=36,C362&lt;=42),"Sep-oct 2025","Resto del año"))</f>
        <v>Resto del año</v>
      </c>
    </row>
    <row r="363" customFormat="false" ht="15" hidden="false" customHeight="false" outlineLevel="0" collapsed="false">
      <c r="A363" s="7" t="s">
        <v>47</v>
      </c>
      <c r="B363" s="7" t="n">
        <v>2025</v>
      </c>
      <c r="C363" s="7" t="n">
        <v>28</v>
      </c>
      <c r="D363" s="7" t="n">
        <v>7</v>
      </c>
      <c r="E363" s="20" t="n">
        <v>12673</v>
      </c>
      <c r="F363" s="20" t="n">
        <v>12467</v>
      </c>
      <c r="G363" s="20" t="n">
        <v>87108</v>
      </c>
      <c r="H363" s="20" t="n">
        <v>87645</v>
      </c>
      <c r="I363" s="31" t="n">
        <v>0.6421</v>
      </c>
      <c r="J363" s="32" t="b">
        <f aca="false">FALSE()</f>
        <v>0</v>
      </c>
      <c r="K363" s="32" t="b">
        <f aca="false">FALSE()</f>
        <v>0</v>
      </c>
      <c r="L363" s="32" t="b">
        <f aca="false">FALSE()</f>
        <v>0</v>
      </c>
      <c r="M363" s="32" t="b">
        <f aca="false">FALSE()</f>
        <v>0</v>
      </c>
      <c r="N363" s="6" t="str">
        <f aca="false">IF(OR(AND(B363=2024,C363&gt;=43),AND(B363=2025,C363&lt;=13)),"Temporada 2024-25",IF(AND(B363=2025,C363&gt;=36,C363&lt;=42),"Sep-oct 2025","Resto del año"))</f>
        <v>Resto del año</v>
      </c>
    </row>
    <row r="364" customFormat="false" ht="15" hidden="false" customHeight="false" outlineLevel="0" collapsed="false">
      <c r="A364" s="7" t="s">
        <v>47</v>
      </c>
      <c r="B364" s="7" t="n">
        <v>2025</v>
      </c>
      <c r="C364" s="7" t="n">
        <v>29</v>
      </c>
      <c r="D364" s="7" t="n">
        <v>7</v>
      </c>
      <c r="E364" s="20" t="n">
        <v>12494</v>
      </c>
      <c r="F364" s="20" t="n">
        <v>11911</v>
      </c>
      <c r="G364" s="20" t="n">
        <v>92743</v>
      </c>
      <c r="H364" s="20" t="n">
        <v>83955</v>
      </c>
      <c r="I364" s="31" t="n">
        <v>0.6453</v>
      </c>
      <c r="J364" s="32" t="b">
        <f aca="false">FALSE()</f>
        <v>0</v>
      </c>
      <c r="K364" s="32" t="b">
        <f aca="false">FALSE()</f>
        <v>0</v>
      </c>
      <c r="L364" s="32" t="b">
        <f aca="false">FALSE()</f>
        <v>0</v>
      </c>
      <c r="M364" s="32" t="b">
        <f aca="false">FALSE()</f>
        <v>0</v>
      </c>
      <c r="N364" s="6" t="str">
        <f aca="false">IF(OR(AND(B364=2024,C364&gt;=43),AND(B364=2025,C364&lt;=13)),"Temporada 2024-25",IF(AND(B364=2025,C364&gt;=36,C364&lt;=42),"Sep-oct 2025","Resto del año"))</f>
        <v>Resto del año</v>
      </c>
    </row>
    <row r="365" customFormat="false" ht="15" hidden="false" customHeight="false" outlineLevel="0" collapsed="false">
      <c r="A365" s="7" t="s">
        <v>47</v>
      </c>
      <c r="B365" s="7" t="n">
        <v>2025</v>
      </c>
      <c r="C365" s="7" t="n">
        <v>30</v>
      </c>
      <c r="D365" s="7" t="n">
        <v>7</v>
      </c>
      <c r="E365" s="20" t="n">
        <v>11941</v>
      </c>
      <c r="F365" s="20" t="n">
        <v>12798</v>
      </c>
      <c r="G365" s="20" t="n">
        <v>85766</v>
      </c>
      <c r="H365" s="20" t="n">
        <v>82067</v>
      </c>
      <c r="I365" s="31" t="n">
        <v>0.66</v>
      </c>
      <c r="J365" s="32" t="b">
        <f aca="false">FALSE()</f>
        <v>0</v>
      </c>
      <c r="K365" s="32" t="b">
        <f aca="false">FALSE()</f>
        <v>0</v>
      </c>
      <c r="L365" s="32" t="b">
        <f aca="false">FALSE()</f>
        <v>0</v>
      </c>
      <c r="M365" s="32" t="b">
        <f aca="false">FALSE()</f>
        <v>0</v>
      </c>
      <c r="N365" s="6" t="str">
        <f aca="false">IF(OR(AND(B365=2024,C365&gt;=43),AND(B365=2025,C365&lt;=13)),"Temporada 2024-25",IF(AND(B365=2025,C365&gt;=36,C365&lt;=42),"Sep-oct 2025","Resto del año"))</f>
        <v>Resto del año</v>
      </c>
    </row>
    <row r="366" customFormat="false" ht="15" hidden="false" customHeight="false" outlineLevel="0" collapsed="false">
      <c r="A366" s="7" t="s">
        <v>47</v>
      </c>
      <c r="B366" s="7" t="n">
        <v>2025</v>
      </c>
      <c r="C366" s="7" t="n">
        <v>31</v>
      </c>
      <c r="D366" s="7" t="n">
        <v>7</v>
      </c>
      <c r="E366" s="20" t="n">
        <v>10840</v>
      </c>
      <c r="F366" s="20" t="n">
        <v>11095</v>
      </c>
      <c r="G366" s="20" t="n">
        <v>70640</v>
      </c>
      <c r="H366" s="20" t="n">
        <v>79498</v>
      </c>
      <c r="I366" s="31" t="n">
        <v>0.6696</v>
      </c>
      <c r="J366" s="32" t="b">
        <f aca="false">FALSE()</f>
        <v>0</v>
      </c>
      <c r="K366" s="32" t="b">
        <f aca="false">FALSE()</f>
        <v>0</v>
      </c>
      <c r="L366" s="32" t="b">
        <f aca="false">FALSE()</f>
        <v>0</v>
      </c>
      <c r="M366" s="32" t="b">
        <f aca="false">FALSE()</f>
        <v>0</v>
      </c>
      <c r="N366" s="6" t="str">
        <f aca="false">IF(OR(AND(B366=2024,C366&gt;=43),AND(B366=2025,C366&lt;=13)),"Temporada 2024-25",IF(AND(B366=2025,C366&gt;=36,C366&lt;=42),"Sep-oct 2025","Resto del año"))</f>
        <v>Resto del año</v>
      </c>
    </row>
    <row r="367" customFormat="false" ht="15" hidden="false" customHeight="false" outlineLevel="0" collapsed="false">
      <c r="A367" s="7" t="s">
        <v>47</v>
      </c>
      <c r="B367" s="7" t="n">
        <v>2025</v>
      </c>
      <c r="C367" s="7" t="n">
        <v>32</v>
      </c>
      <c r="D367" s="7" t="n">
        <v>8</v>
      </c>
      <c r="E367" s="20" t="n">
        <v>12007</v>
      </c>
      <c r="F367" s="20" t="n">
        <v>11883</v>
      </c>
      <c r="G367" s="20" t="n">
        <v>84002</v>
      </c>
      <c r="H367" s="20" t="n">
        <v>82943</v>
      </c>
      <c r="I367" s="31" t="n">
        <v>0.6632</v>
      </c>
      <c r="J367" s="32" t="b">
        <f aca="false">FALSE()</f>
        <v>0</v>
      </c>
      <c r="K367" s="32" t="b">
        <f aca="false">FALSE()</f>
        <v>0</v>
      </c>
      <c r="L367" s="32" t="b">
        <f aca="false">FALSE()</f>
        <v>0</v>
      </c>
      <c r="M367" s="32" t="b">
        <f aca="false">FALSE()</f>
        <v>0</v>
      </c>
      <c r="N367" s="6" t="str">
        <f aca="false">IF(OR(AND(B367=2024,C367&gt;=43),AND(B367=2025,C367&lt;=13)),"Temporada 2024-25",IF(AND(B367=2025,C367&gt;=36,C367&lt;=42),"Sep-oct 2025","Resto del año"))</f>
        <v>Resto del año</v>
      </c>
    </row>
    <row r="368" customFormat="false" ht="15" hidden="false" customHeight="false" outlineLevel="0" collapsed="false">
      <c r="A368" s="7" t="s">
        <v>47</v>
      </c>
      <c r="B368" s="7" t="n">
        <v>2025</v>
      </c>
      <c r="C368" s="7" t="n">
        <v>33</v>
      </c>
      <c r="D368" s="7" t="n">
        <v>8</v>
      </c>
      <c r="E368" s="20" t="n">
        <v>11868</v>
      </c>
      <c r="F368" s="20" t="n">
        <v>12428</v>
      </c>
      <c r="G368" s="20" t="n">
        <v>88723</v>
      </c>
      <c r="H368" s="20" t="n">
        <v>87107</v>
      </c>
      <c r="I368" s="31" t="n">
        <v>0.6731</v>
      </c>
      <c r="J368" s="32" t="b">
        <f aca="false">FALSE()</f>
        <v>0</v>
      </c>
      <c r="K368" s="32" t="b">
        <f aca="false">FALSE()</f>
        <v>0</v>
      </c>
      <c r="L368" s="32" t="b">
        <f aca="false">FALSE()</f>
        <v>0</v>
      </c>
      <c r="M368" s="32" t="b">
        <f aca="false">FALSE()</f>
        <v>0</v>
      </c>
      <c r="N368" s="6" t="str">
        <f aca="false">IF(OR(AND(B368=2024,C368&gt;=43),AND(B368=2025,C368&lt;=13)),"Temporada 2024-25",IF(AND(B368=2025,C368&gt;=36,C368&lt;=42),"Sep-oct 2025","Resto del año"))</f>
        <v>Resto del año</v>
      </c>
    </row>
    <row r="369" customFormat="false" ht="15" hidden="false" customHeight="false" outlineLevel="0" collapsed="false">
      <c r="A369" s="7" t="s">
        <v>47</v>
      </c>
      <c r="B369" s="7" t="n">
        <v>2025</v>
      </c>
      <c r="C369" s="7" t="n">
        <v>34</v>
      </c>
      <c r="D369" s="7" t="n">
        <v>8</v>
      </c>
      <c r="E369" s="20" t="n">
        <v>11202</v>
      </c>
      <c r="F369" s="20" t="n">
        <v>11768</v>
      </c>
      <c r="G369" s="20" t="n">
        <v>83972</v>
      </c>
      <c r="H369" s="20" t="n">
        <v>79934</v>
      </c>
      <c r="I369" s="31" t="n">
        <v>0.689</v>
      </c>
      <c r="J369" s="32" t="b">
        <f aca="false">FALSE()</f>
        <v>0</v>
      </c>
      <c r="K369" s="32" t="b">
        <f aca="false">FALSE()</f>
        <v>0</v>
      </c>
      <c r="L369" s="32" t="b">
        <f aca="false">FALSE()</f>
        <v>0</v>
      </c>
      <c r="M369" s="32" t="b">
        <f aca="false">FALSE()</f>
        <v>0</v>
      </c>
      <c r="N369" s="6" t="str">
        <f aca="false">IF(OR(AND(B369=2024,C369&gt;=43),AND(B369=2025,C369&lt;=13)),"Temporada 2024-25",IF(AND(B369=2025,C369&gt;=36,C369&lt;=42),"Sep-oct 2025","Resto del año"))</f>
        <v>Resto del año</v>
      </c>
    </row>
    <row r="370" customFormat="false" ht="15" hidden="false" customHeight="false" outlineLevel="0" collapsed="false">
      <c r="A370" s="7" t="s">
        <v>47</v>
      </c>
      <c r="B370" s="7" t="n">
        <v>2025</v>
      </c>
      <c r="C370" s="7" t="n">
        <v>35</v>
      </c>
      <c r="D370" s="7" t="n">
        <v>8</v>
      </c>
      <c r="E370" s="20" t="n">
        <v>11902</v>
      </c>
      <c r="F370" s="20" t="n">
        <v>12081</v>
      </c>
      <c r="G370" s="20" t="n">
        <v>81960</v>
      </c>
      <c r="H370" s="20" t="n">
        <v>82940</v>
      </c>
      <c r="I370" s="31" t="n">
        <v>0.6838</v>
      </c>
      <c r="J370" s="32" t="b">
        <f aca="false">FALSE()</f>
        <v>0</v>
      </c>
      <c r="K370" s="32" t="b">
        <f aca="false">FALSE()</f>
        <v>0</v>
      </c>
      <c r="L370" s="32" t="b">
        <f aca="false">FALSE()</f>
        <v>0</v>
      </c>
      <c r="M370" s="32" t="b">
        <f aca="false">FALSE()</f>
        <v>0</v>
      </c>
      <c r="N370" s="6" t="str">
        <f aca="false">IF(OR(AND(B370=2024,C370&gt;=43),AND(B370=2025,C370&lt;=13)),"Temporada 2024-25",IF(AND(B370=2025,C370&gt;=36,C370&lt;=42),"Sep-oct 2025","Resto del año"))</f>
        <v>Resto del año</v>
      </c>
    </row>
    <row r="371" customFormat="false" ht="15" hidden="false" customHeight="false" outlineLevel="0" collapsed="false">
      <c r="A371" s="7" t="s">
        <v>47</v>
      </c>
      <c r="B371" s="7" t="n">
        <v>2025</v>
      </c>
      <c r="C371" s="7" t="n">
        <v>36</v>
      </c>
      <c r="D371" s="7" t="n">
        <v>9</v>
      </c>
      <c r="E371" s="20" t="n">
        <v>9805</v>
      </c>
      <c r="F371" s="20" t="n">
        <v>11340</v>
      </c>
      <c r="G371" s="20" t="n">
        <v>85135</v>
      </c>
      <c r="H371" s="20" t="n">
        <v>81869</v>
      </c>
      <c r="I371" s="31" t="n">
        <v>0.676</v>
      </c>
      <c r="J371" s="32" t="b">
        <f aca="false">FALSE()</f>
        <v>0</v>
      </c>
      <c r="K371" s="32" t="b">
        <f aca="false">FALSE()</f>
        <v>0</v>
      </c>
      <c r="L371" s="32" t="b">
        <f aca="false">FALSE()</f>
        <v>0</v>
      </c>
      <c r="M371" s="32" t="b">
        <f aca="false">FALSE()</f>
        <v>0</v>
      </c>
      <c r="N371" s="6" t="str">
        <f aca="false">IF(OR(AND(B371=2024,C371&gt;=43),AND(B371=2025,C371&lt;=13)),"Temporada 2024-25",IF(AND(B371=2025,C371&gt;=36,C371&lt;=42),"Sep-oct 2025","Resto del año"))</f>
        <v>Sep-oct 2025</v>
      </c>
    </row>
    <row r="372" customFormat="false" ht="15" hidden="false" customHeight="false" outlineLevel="0" collapsed="false">
      <c r="A372" s="7" t="s">
        <v>47</v>
      </c>
      <c r="B372" s="7" t="n">
        <v>2025</v>
      </c>
      <c r="C372" s="7" t="n">
        <v>37</v>
      </c>
      <c r="D372" s="7" t="n">
        <v>9</v>
      </c>
      <c r="E372" s="20" t="n">
        <v>12781</v>
      </c>
      <c r="F372" s="20" t="n">
        <v>12236</v>
      </c>
      <c r="G372" s="20" t="n">
        <v>88105</v>
      </c>
      <c r="H372" s="20" t="n">
        <v>86375</v>
      </c>
      <c r="I372" s="31" t="n">
        <v>0.6734</v>
      </c>
      <c r="J372" s="32" t="b">
        <f aca="false">FALSE()</f>
        <v>0</v>
      </c>
      <c r="K372" s="32" t="b">
        <f aca="false">FALSE()</f>
        <v>0</v>
      </c>
      <c r="L372" s="32" t="b">
        <f aca="false">FALSE()</f>
        <v>0</v>
      </c>
      <c r="M372" s="32" t="b">
        <f aca="false">FALSE()</f>
        <v>0</v>
      </c>
      <c r="N372" s="6" t="str">
        <f aca="false">IF(OR(AND(B372=2024,C372&gt;=43),AND(B372=2025,C372&lt;=13)),"Temporada 2024-25",IF(AND(B372=2025,C372&gt;=36,C372&lt;=42),"Sep-oct 2025","Resto del año"))</f>
        <v>Sep-oct 2025</v>
      </c>
    </row>
    <row r="373" customFormat="false" ht="15" hidden="false" customHeight="false" outlineLevel="0" collapsed="false">
      <c r="A373" s="7" t="s">
        <v>47</v>
      </c>
      <c r="B373" s="7" t="n">
        <v>2025</v>
      </c>
      <c r="C373" s="7" t="n">
        <v>38</v>
      </c>
      <c r="D373" s="7" t="n">
        <v>9</v>
      </c>
      <c r="E373" s="20" t="n">
        <v>13465</v>
      </c>
      <c r="F373" s="20" t="n">
        <v>12780</v>
      </c>
      <c r="G373" s="20" t="n">
        <v>85184</v>
      </c>
      <c r="H373" s="20" t="n">
        <v>85899</v>
      </c>
      <c r="I373" s="31" t="n">
        <v>0.6915</v>
      </c>
      <c r="J373" s="32" t="b">
        <f aca="false">FALSE()</f>
        <v>0</v>
      </c>
      <c r="K373" s="32" t="b">
        <f aca="false">FALSE()</f>
        <v>0</v>
      </c>
      <c r="L373" s="32" t="b">
        <f aca="false">FALSE()</f>
        <v>0</v>
      </c>
      <c r="M373" s="32" t="b">
        <f aca="false">FALSE()</f>
        <v>0</v>
      </c>
      <c r="N373" s="6" t="str">
        <f aca="false">IF(OR(AND(B373=2024,C373&gt;=43),AND(B373=2025,C373&lt;=13)),"Temporada 2024-25",IF(AND(B373=2025,C373&gt;=36,C373&lt;=42),"Sep-oct 2025","Resto del año"))</f>
        <v>Sep-oct 2025</v>
      </c>
    </row>
    <row r="374" customFormat="false" ht="15" hidden="false" customHeight="false" outlineLevel="0" collapsed="false">
      <c r="A374" s="7" t="s">
        <v>47</v>
      </c>
      <c r="B374" s="7" t="n">
        <v>2025</v>
      </c>
      <c r="C374" s="7" t="n">
        <v>39</v>
      </c>
      <c r="D374" s="7" t="n">
        <v>9</v>
      </c>
      <c r="E374" s="20" t="n">
        <v>12308</v>
      </c>
      <c r="F374" s="20" t="n">
        <v>12957</v>
      </c>
      <c r="G374" s="20" t="n">
        <v>85885</v>
      </c>
      <c r="H374" s="20" t="n">
        <v>85702</v>
      </c>
      <c r="I374" s="31" t="n">
        <v>0.6957</v>
      </c>
      <c r="J374" s="32" t="b">
        <f aca="false">FALSE()</f>
        <v>0</v>
      </c>
      <c r="K374" s="32" t="b">
        <f aca="false">FALSE()</f>
        <v>0</v>
      </c>
      <c r="L374" s="32" t="b">
        <f aca="false">FALSE()</f>
        <v>0</v>
      </c>
      <c r="M374" s="32" t="b">
        <f aca="false">FALSE()</f>
        <v>0</v>
      </c>
      <c r="N374" s="6" t="str">
        <f aca="false">IF(OR(AND(B374=2024,C374&gt;=43),AND(B374=2025,C374&lt;=13)),"Temporada 2024-25",IF(AND(B374=2025,C374&gt;=36,C374&lt;=42),"Sep-oct 2025","Resto del año"))</f>
        <v>Sep-oct 2025</v>
      </c>
    </row>
    <row r="375" customFormat="false" ht="15" hidden="false" customHeight="false" outlineLevel="0" collapsed="false">
      <c r="A375" s="7" t="s">
        <v>47</v>
      </c>
      <c r="B375" s="7" t="n">
        <v>2025</v>
      </c>
      <c r="C375" s="7" t="n">
        <v>40</v>
      </c>
      <c r="D375" s="7" t="n">
        <v>9</v>
      </c>
      <c r="E375" s="20" t="n">
        <v>10699</v>
      </c>
      <c r="F375" s="20" t="n">
        <v>13147</v>
      </c>
      <c r="G375" s="20" t="n">
        <v>86544</v>
      </c>
      <c r="H375" s="20" t="n">
        <v>90424</v>
      </c>
      <c r="I375" s="31" t="n">
        <v>0.7012</v>
      </c>
      <c r="J375" s="32" t="b">
        <f aca="false">FALSE()</f>
        <v>0</v>
      </c>
      <c r="K375" s="32" t="b">
        <f aca="false">FALSE()</f>
        <v>0</v>
      </c>
      <c r="L375" s="32" t="b">
        <f aca="false">FALSE()</f>
        <v>0</v>
      </c>
      <c r="M375" s="32" t="b">
        <f aca="false">FALSE()</f>
        <v>0</v>
      </c>
      <c r="N375" s="6" t="str">
        <f aca="false">IF(OR(AND(B375=2024,C375&gt;=43),AND(B375=2025,C375&lt;=13)),"Temporada 2024-25",IF(AND(B375=2025,C375&gt;=36,C375&lt;=42),"Sep-oct 2025","Resto del año"))</f>
        <v>Sep-oct 2025</v>
      </c>
    </row>
    <row r="376" customFormat="false" ht="15" hidden="false" customHeight="false" outlineLevel="0" collapsed="false">
      <c r="A376" s="7" t="s">
        <v>47</v>
      </c>
      <c r="B376" s="7" t="n">
        <v>2025</v>
      </c>
      <c r="C376" s="7" t="n">
        <v>41</v>
      </c>
      <c r="D376" s="7" t="n">
        <v>10</v>
      </c>
      <c r="E376" s="20" t="n">
        <v>10245</v>
      </c>
      <c r="F376" s="20" t="n">
        <v>12189</v>
      </c>
      <c r="G376" s="20" t="n">
        <v>87691</v>
      </c>
      <c r="H376" s="20" t="n">
        <v>87665</v>
      </c>
      <c r="I376" s="31" t="n">
        <v>0.6918</v>
      </c>
      <c r="J376" s="32" t="b">
        <f aca="false">FALSE()</f>
        <v>0</v>
      </c>
      <c r="K376" s="32" t="b">
        <f aca="false">FALSE()</f>
        <v>0</v>
      </c>
      <c r="L376" s="32" t="b">
        <f aca="false">FALSE()</f>
        <v>0</v>
      </c>
      <c r="M376" s="32" t="b">
        <f aca="false">FALSE()</f>
        <v>0</v>
      </c>
      <c r="N376" s="6" t="str">
        <f aca="false">IF(OR(AND(B376=2024,C376&gt;=43),AND(B376=2025,C376&lt;=13)),"Temporada 2024-25",IF(AND(B376=2025,C376&gt;=36,C376&lt;=42),"Sep-oct 2025","Resto del año"))</f>
        <v>Sep-oct 2025</v>
      </c>
    </row>
    <row r="377" customFormat="false" ht="15" hidden="false" customHeight="false" outlineLevel="0" collapsed="false">
      <c r="A377" s="7" t="s">
        <v>47</v>
      </c>
      <c r="B377" s="7" t="n">
        <v>2025</v>
      </c>
      <c r="C377" s="7" t="n">
        <v>42</v>
      </c>
      <c r="D377" s="7" t="n">
        <v>10</v>
      </c>
      <c r="E377" s="20" t="n">
        <v>11229</v>
      </c>
      <c r="F377" s="20" t="n">
        <v>12207</v>
      </c>
      <c r="G377" s="20" t="n">
        <v>80690</v>
      </c>
      <c r="H377" s="20" t="n">
        <v>86125</v>
      </c>
      <c r="I377" s="31" t="n">
        <v>0.6875</v>
      </c>
      <c r="J377" s="32" t="b">
        <f aca="false">FALSE()</f>
        <v>0</v>
      </c>
      <c r="K377" s="32" t="b">
        <f aca="false">FALSE()</f>
        <v>0</v>
      </c>
      <c r="L377" s="32" t="b">
        <f aca="false">FALSE()</f>
        <v>0</v>
      </c>
      <c r="M377" s="32" t="b">
        <f aca="false">FALSE()</f>
        <v>0</v>
      </c>
      <c r="N377" s="6" t="str">
        <f aca="false">IF(OR(AND(B377=2024,C377&gt;=43),AND(B377=2025,C377&lt;=13)),"Temporada 2024-25",IF(AND(B377=2025,C377&gt;=36,C377&lt;=42),"Sep-oct 2025","Resto del año"))</f>
        <v>Sep-oct 2025</v>
      </c>
    </row>
    <row r="378" customFormat="false" ht="15" hidden="false" customHeight="false" outlineLevel="0" collapsed="false">
      <c r="A378" s="7" t="s">
        <v>49</v>
      </c>
      <c r="B378" s="7" t="n">
        <v>2024</v>
      </c>
      <c r="C378" s="7" t="n">
        <v>1</v>
      </c>
      <c r="D378" s="7" t="n">
        <v>1</v>
      </c>
      <c r="E378" s="20" t="n">
        <v>1966</v>
      </c>
      <c r="F378" s="20" t="n">
        <v>1954</v>
      </c>
      <c r="G378" s="20" t="n">
        <v>19213</v>
      </c>
      <c r="H378" s="20" t="n">
        <v>18488</v>
      </c>
      <c r="I378" s="31" t="n">
        <v>0.6002</v>
      </c>
      <c r="J378" s="32" t="b">
        <f aca="false">FALSE()</f>
        <v>0</v>
      </c>
      <c r="K378" s="32" t="b">
        <f aca="false">FALSE()</f>
        <v>0</v>
      </c>
      <c r="L378" s="32" t="b">
        <f aca="false">FALSE()</f>
        <v>0</v>
      </c>
      <c r="M378" s="32" t="b">
        <f aca="false">FALSE()</f>
        <v>0</v>
      </c>
      <c r="N378" s="6" t="str">
        <f aca="false">IF(OR(AND(B378=2024,C378&gt;=43),AND(B378=2025,C378&lt;=13)),"Temporada 2024-25",IF(AND(B378=2025,C378&gt;=36,C378&lt;=42),"Sep-oct 2025","Resto del año"))</f>
        <v>Resto del año</v>
      </c>
    </row>
    <row r="379" customFormat="false" ht="15" hidden="false" customHeight="false" outlineLevel="0" collapsed="false">
      <c r="A379" s="7" t="s">
        <v>49</v>
      </c>
      <c r="B379" s="7" t="n">
        <v>2024</v>
      </c>
      <c r="C379" s="7" t="n">
        <v>2</v>
      </c>
      <c r="D379" s="7" t="n">
        <v>1</v>
      </c>
      <c r="E379" s="20" t="n">
        <v>1377</v>
      </c>
      <c r="F379" s="20" t="n">
        <v>1364</v>
      </c>
      <c r="G379" s="20" t="n">
        <v>17674</v>
      </c>
      <c r="H379" s="20" t="n">
        <v>17933</v>
      </c>
      <c r="I379" s="31" t="n">
        <v>0.5221</v>
      </c>
      <c r="J379" s="32" t="b">
        <f aca="false">FALSE()</f>
        <v>0</v>
      </c>
      <c r="K379" s="32" t="b">
        <f aca="false">FALSE()</f>
        <v>0</v>
      </c>
      <c r="L379" s="32" t="b">
        <f aca="false">FALSE()</f>
        <v>0</v>
      </c>
      <c r="M379" s="32" t="b">
        <f aca="false">FALSE()</f>
        <v>0</v>
      </c>
      <c r="N379" s="6" t="str">
        <f aca="false">IF(OR(AND(B379=2024,C379&gt;=43),AND(B379=2025,C379&lt;=13)),"Temporada 2024-25",IF(AND(B379=2025,C379&gt;=36,C379&lt;=42),"Sep-oct 2025","Resto del año"))</f>
        <v>Resto del año</v>
      </c>
    </row>
    <row r="380" customFormat="false" ht="15" hidden="false" customHeight="false" outlineLevel="0" collapsed="false">
      <c r="A380" s="7" t="s">
        <v>49</v>
      </c>
      <c r="B380" s="7" t="n">
        <v>2024</v>
      </c>
      <c r="C380" s="7" t="n">
        <v>3</v>
      </c>
      <c r="D380" s="7" t="n">
        <v>1</v>
      </c>
      <c r="E380" s="20" t="n">
        <v>1033</v>
      </c>
      <c r="F380" s="20" t="n">
        <v>1197</v>
      </c>
      <c r="G380" s="20" t="n">
        <v>15878</v>
      </c>
      <c r="H380" s="20" t="n">
        <v>16820</v>
      </c>
      <c r="I380" s="31" t="n">
        <v>0.4456</v>
      </c>
      <c r="J380" s="32" t="b">
        <f aca="false">FALSE()</f>
        <v>0</v>
      </c>
      <c r="K380" s="32" t="b">
        <f aca="false">FALSE()</f>
        <v>0</v>
      </c>
      <c r="L380" s="32" t="b">
        <f aca="false">FALSE()</f>
        <v>0</v>
      </c>
      <c r="M380" s="32" t="b">
        <f aca="false">FALSE()</f>
        <v>0</v>
      </c>
      <c r="N380" s="6" t="str">
        <f aca="false">IF(OR(AND(B380=2024,C380&gt;=43),AND(B380=2025,C380&lt;=13)),"Temporada 2024-25",IF(AND(B380=2025,C380&gt;=36,C380&lt;=42),"Sep-oct 2025","Resto del año"))</f>
        <v>Resto del año</v>
      </c>
    </row>
    <row r="381" customFormat="false" ht="15" hidden="false" customHeight="false" outlineLevel="0" collapsed="false">
      <c r="A381" s="7" t="s">
        <v>49</v>
      </c>
      <c r="B381" s="7" t="n">
        <v>2024</v>
      </c>
      <c r="C381" s="7" t="n">
        <v>4</v>
      </c>
      <c r="D381" s="7" t="n">
        <v>1</v>
      </c>
      <c r="E381" s="20" t="n">
        <v>1246</v>
      </c>
      <c r="F381" s="20" t="n">
        <v>1305</v>
      </c>
      <c r="G381" s="20" t="n">
        <v>17164</v>
      </c>
      <c r="H381" s="20" t="n">
        <v>16303</v>
      </c>
      <c r="I381" s="31" t="n">
        <v>0.3831</v>
      </c>
      <c r="J381" s="32" t="b">
        <f aca="false">FALSE()</f>
        <v>0</v>
      </c>
      <c r="K381" s="32" t="b">
        <f aca="false">FALSE()</f>
        <v>0</v>
      </c>
      <c r="L381" s="32" t="b">
        <f aca="false">FALSE()</f>
        <v>0</v>
      </c>
      <c r="M381" s="32" t="b">
        <f aca="false">FALSE()</f>
        <v>0</v>
      </c>
      <c r="N381" s="6" t="str">
        <f aca="false">IF(OR(AND(B381=2024,C381&gt;=43),AND(B381=2025,C381&lt;=13)),"Temporada 2024-25",IF(AND(B381=2025,C381&gt;=36,C381&lt;=42),"Sep-oct 2025","Resto del año"))</f>
        <v>Resto del año</v>
      </c>
    </row>
    <row r="382" customFormat="false" ht="15" hidden="false" customHeight="false" outlineLevel="0" collapsed="false">
      <c r="A382" s="7" t="s">
        <v>49</v>
      </c>
      <c r="B382" s="7" t="n">
        <v>2024</v>
      </c>
      <c r="C382" s="7" t="n">
        <v>5</v>
      </c>
      <c r="D382" s="7" t="n">
        <v>1</v>
      </c>
      <c r="E382" s="20" t="n">
        <v>1752</v>
      </c>
      <c r="F382" s="20" t="n">
        <v>2019</v>
      </c>
      <c r="G382" s="20" t="n">
        <v>18266</v>
      </c>
      <c r="H382" s="20" t="n">
        <v>17707</v>
      </c>
      <c r="I382" s="31" t="n">
        <v>0.3652</v>
      </c>
      <c r="J382" s="32" t="b">
        <f aca="false">FALSE()</f>
        <v>0</v>
      </c>
      <c r="K382" s="32" t="b">
        <f aca="false">FALSE()</f>
        <v>0</v>
      </c>
      <c r="L382" s="32" t="b">
        <f aca="false">FALSE()</f>
        <v>0</v>
      </c>
      <c r="M382" s="32" t="b">
        <f aca="false">FALSE()</f>
        <v>0</v>
      </c>
      <c r="N382" s="6" t="str">
        <f aca="false">IF(OR(AND(B382=2024,C382&gt;=43),AND(B382=2025,C382&lt;=13)),"Temporada 2024-25",IF(AND(B382=2025,C382&gt;=36,C382&lt;=42),"Sep-oct 2025","Resto del año"))</f>
        <v>Resto del año</v>
      </c>
    </row>
    <row r="383" customFormat="false" ht="15" hidden="false" customHeight="false" outlineLevel="0" collapsed="false">
      <c r="A383" s="7" t="s">
        <v>49</v>
      </c>
      <c r="B383" s="7" t="n">
        <v>2024</v>
      </c>
      <c r="C383" s="7" t="n">
        <v>6</v>
      </c>
      <c r="D383" s="7" t="n">
        <v>2</v>
      </c>
      <c r="E383" s="20" t="n">
        <v>2182</v>
      </c>
      <c r="F383" s="20" t="n">
        <v>2302</v>
      </c>
      <c r="G383" s="20" t="n">
        <v>19165</v>
      </c>
      <c r="H383" s="20" t="n">
        <v>19003</v>
      </c>
      <c r="I383" s="31" t="n">
        <v>0.3416</v>
      </c>
      <c r="J383" s="32" t="b">
        <f aca="false">FALSE()</f>
        <v>0</v>
      </c>
      <c r="K383" s="32" t="b">
        <f aca="false">FALSE()</f>
        <v>0</v>
      </c>
      <c r="L383" s="32" t="b">
        <f aca="false">FALSE()</f>
        <v>0</v>
      </c>
      <c r="M383" s="32" t="b">
        <f aca="false">FALSE()</f>
        <v>0</v>
      </c>
      <c r="N383" s="6" t="str">
        <f aca="false">IF(OR(AND(B383=2024,C383&gt;=43),AND(B383=2025,C383&lt;=13)),"Temporada 2024-25",IF(AND(B383=2025,C383&gt;=36,C383&lt;=42),"Sep-oct 2025","Resto del año"))</f>
        <v>Resto del año</v>
      </c>
    </row>
    <row r="384" customFormat="false" ht="15" hidden="false" customHeight="false" outlineLevel="0" collapsed="false">
      <c r="A384" s="7" t="s">
        <v>49</v>
      </c>
      <c r="B384" s="7" t="n">
        <v>2024</v>
      </c>
      <c r="C384" s="7" t="n">
        <v>7</v>
      </c>
      <c r="D384" s="7" t="n">
        <v>2</v>
      </c>
      <c r="E384" s="20" t="n">
        <v>2454</v>
      </c>
      <c r="F384" s="20" t="n">
        <v>2579</v>
      </c>
      <c r="G384" s="20" t="n">
        <v>17478</v>
      </c>
      <c r="H384" s="20" t="n">
        <v>17412</v>
      </c>
      <c r="I384" s="31" t="n">
        <v>0.3424</v>
      </c>
      <c r="J384" s="32" t="b">
        <f aca="false">FALSE()</f>
        <v>0</v>
      </c>
      <c r="K384" s="32" t="b">
        <f aca="false">FALSE()</f>
        <v>0</v>
      </c>
      <c r="L384" s="32" t="b">
        <f aca="false">FALSE()</f>
        <v>0</v>
      </c>
      <c r="M384" s="32" t="b">
        <f aca="false">FALSE()</f>
        <v>0</v>
      </c>
      <c r="N384" s="6" t="str">
        <f aca="false">IF(OR(AND(B384=2024,C384&gt;=43),AND(B384=2025,C384&lt;=13)),"Temporada 2024-25",IF(AND(B384=2025,C384&gt;=36,C384&lt;=42),"Sep-oct 2025","Resto del año"))</f>
        <v>Resto del año</v>
      </c>
    </row>
    <row r="385" customFormat="false" ht="15" hidden="false" customHeight="false" outlineLevel="0" collapsed="false">
      <c r="A385" s="7" t="s">
        <v>49</v>
      </c>
      <c r="B385" s="7" t="n">
        <v>2024</v>
      </c>
      <c r="C385" s="7" t="n">
        <v>8</v>
      </c>
      <c r="D385" s="7" t="n">
        <v>2</v>
      </c>
      <c r="E385" s="20" t="n">
        <v>2569</v>
      </c>
      <c r="F385" s="20" t="n">
        <v>2893</v>
      </c>
      <c r="G385" s="20" t="n">
        <v>18860</v>
      </c>
      <c r="H385" s="20" t="n">
        <v>18005</v>
      </c>
      <c r="I385" s="31" t="n">
        <v>0.3631</v>
      </c>
      <c r="J385" s="32" t="b">
        <f aca="false">FALSE()</f>
        <v>0</v>
      </c>
      <c r="K385" s="32" t="b">
        <f aca="false">FALSE()</f>
        <v>0</v>
      </c>
      <c r="L385" s="32" t="b">
        <f aca="false">FALSE()</f>
        <v>0</v>
      </c>
      <c r="M385" s="32" t="b">
        <f aca="false">FALSE()</f>
        <v>0</v>
      </c>
      <c r="N385" s="6" t="str">
        <f aca="false">IF(OR(AND(B385=2024,C385&gt;=43),AND(B385=2025,C385&lt;=13)),"Temporada 2024-25",IF(AND(B385=2025,C385&gt;=36,C385&lt;=42),"Sep-oct 2025","Resto del año"))</f>
        <v>Resto del año</v>
      </c>
    </row>
    <row r="386" customFormat="false" ht="15" hidden="false" customHeight="false" outlineLevel="0" collapsed="false">
      <c r="A386" s="7" t="s">
        <v>49</v>
      </c>
      <c r="B386" s="7" t="n">
        <v>2024</v>
      </c>
      <c r="C386" s="7" t="n">
        <v>9</v>
      </c>
      <c r="D386" s="7" t="n">
        <v>2</v>
      </c>
      <c r="E386" s="20" t="n">
        <v>2819</v>
      </c>
      <c r="F386" s="20" t="n">
        <v>2999</v>
      </c>
      <c r="G386" s="20" t="n">
        <v>19017</v>
      </c>
      <c r="H386" s="20" t="n">
        <v>19362</v>
      </c>
      <c r="I386" s="31" t="n">
        <v>0.3871</v>
      </c>
      <c r="J386" s="32" t="b">
        <f aca="false">FALSE()</f>
        <v>0</v>
      </c>
      <c r="K386" s="32" t="b">
        <f aca="false">FALSE()</f>
        <v>0</v>
      </c>
      <c r="L386" s="32" t="b">
        <f aca="false">FALSE()</f>
        <v>0</v>
      </c>
      <c r="M386" s="32" t="b">
        <f aca="false">FALSE()</f>
        <v>0</v>
      </c>
      <c r="N386" s="6" t="str">
        <f aca="false">IF(OR(AND(B386=2024,C386&gt;=43),AND(B386=2025,C386&lt;=13)),"Temporada 2024-25",IF(AND(B386=2025,C386&gt;=36,C386&lt;=42),"Sep-oct 2025","Resto del año"))</f>
        <v>Resto del año</v>
      </c>
    </row>
    <row r="387" customFormat="false" ht="15" hidden="false" customHeight="false" outlineLevel="0" collapsed="false">
      <c r="A387" s="7" t="s">
        <v>49</v>
      </c>
      <c r="B387" s="7" t="n">
        <v>2024</v>
      </c>
      <c r="C387" s="7" t="n">
        <v>10</v>
      </c>
      <c r="D387" s="7" t="n">
        <v>3</v>
      </c>
      <c r="E387" s="20" t="n">
        <v>2836</v>
      </c>
      <c r="F387" s="20" t="n">
        <v>3183</v>
      </c>
      <c r="G387" s="20" t="n">
        <v>21663</v>
      </c>
      <c r="H387" s="20" t="n">
        <v>19476</v>
      </c>
      <c r="I387" s="31" t="n">
        <v>0.4157</v>
      </c>
      <c r="J387" s="32" t="b">
        <f aca="false">FALSE()</f>
        <v>0</v>
      </c>
      <c r="K387" s="32" t="b">
        <f aca="false">FALSE()</f>
        <v>0</v>
      </c>
      <c r="L387" s="32" t="b">
        <f aca="false">FALSE()</f>
        <v>0</v>
      </c>
      <c r="M387" s="32" t="b">
        <f aca="false">FALSE()</f>
        <v>0</v>
      </c>
      <c r="N387" s="6" t="str">
        <f aca="false">IF(OR(AND(B387=2024,C387&gt;=43),AND(B387=2025,C387&lt;=13)),"Temporada 2024-25",IF(AND(B387=2025,C387&gt;=36,C387&lt;=42),"Sep-oct 2025","Resto del año"))</f>
        <v>Resto del año</v>
      </c>
    </row>
    <row r="388" customFormat="false" ht="15" hidden="false" customHeight="false" outlineLevel="0" collapsed="false">
      <c r="A388" s="7" t="s">
        <v>49</v>
      </c>
      <c r="B388" s="7" t="n">
        <v>2024</v>
      </c>
      <c r="C388" s="7" t="n">
        <v>11</v>
      </c>
      <c r="D388" s="7" t="n">
        <v>3</v>
      </c>
      <c r="E388" s="20" t="n">
        <v>2813</v>
      </c>
      <c r="F388" s="20" t="n">
        <v>3011</v>
      </c>
      <c r="G388" s="20" t="n">
        <v>20222</v>
      </c>
      <c r="H388" s="20" t="n">
        <v>19664</v>
      </c>
      <c r="I388" s="31" t="n">
        <v>0.4235</v>
      </c>
      <c r="J388" s="32" t="b">
        <f aca="false">FALSE()</f>
        <v>0</v>
      </c>
      <c r="K388" s="32" t="b">
        <f aca="false">FALSE()</f>
        <v>0</v>
      </c>
      <c r="L388" s="32" t="b">
        <f aca="false">FALSE()</f>
        <v>0</v>
      </c>
      <c r="M388" s="32" t="b">
        <f aca="false">FALSE()</f>
        <v>0</v>
      </c>
      <c r="N388" s="6" t="str">
        <f aca="false">IF(OR(AND(B388=2024,C388&gt;=43),AND(B388=2025,C388&lt;=13)),"Temporada 2024-25",IF(AND(B388=2025,C388&gt;=36,C388&lt;=42),"Sep-oct 2025","Resto del año"))</f>
        <v>Resto del año</v>
      </c>
    </row>
    <row r="389" customFormat="false" ht="15" hidden="false" customHeight="false" outlineLevel="0" collapsed="false">
      <c r="A389" s="7" t="s">
        <v>49</v>
      </c>
      <c r="B389" s="7" t="n">
        <v>2024</v>
      </c>
      <c r="C389" s="7" t="n">
        <v>12</v>
      </c>
      <c r="D389" s="7" t="n">
        <v>3</v>
      </c>
      <c r="E389" s="20" t="n">
        <v>3238</v>
      </c>
      <c r="F389" s="20" t="n">
        <v>3291</v>
      </c>
      <c r="G389" s="20" t="n">
        <v>19322</v>
      </c>
      <c r="H389" s="20" t="n">
        <v>19511</v>
      </c>
      <c r="I389" s="31" t="n">
        <v>0.4442</v>
      </c>
      <c r="J389" s="32" t="b">
        <f aca="false">FALSE()</f>
        <v>0</v>
      </c>
      <c r="K389" s="32" t="b">
        <f aca="false">FALSE()</f>
        <v>0</v>
      </c>
      <c r="L389" s="32" t="b">
        <f aca="false">FALSE()</f>
        <v>0</v>
      </c>
      <c r="M389" s="32" t="b">
        <f aca="false">FALSE()</f>
        <v>0</v>
      </c>
      <c r="N389" s="6" t="str">
        <f aca="false">IF(OR(AND(B389=2024,C389&gt;=43),AND(B389=2025,C389&lt;=13)),"Temporada 2024-25",IF(AND(B389=2025,C389&gt;=36,C389&lt;=42),"Sep-oct 2025","Resto del año"))</f>
        <v>Resto del año</v>
      </c>
    </row>
    <row r="390" customFormat="false" ht="15" hidden="false" customHeight="false" outlineLevel="0" collapsed="false">
      <c r="A390" s="7" t="s">
        <v>49</v>
      </c>
      <c r="B390" s="7" t="n">
        <v>2024</v>
      </c>
      <c r="C390" s="7" t="n">
        <v>13</v>
      </c>
      <c r="D390" s="7" t="n">
        <v>3</v>
      </c>
      <c r="E390" s="20" t="n">
        <v>3113</v>
      </c>
      <c r="F390" s="20" t="n">
        <v>3168</v>
      </c>
      <c r="G390" s="20" t="n">
        <v>19428</v>
      </c>
      <c r="H390" s="20" t="n">
        <v>19859</v>
      </c>
      <c r="I390" s="31" t="n">
        <v>0.4544</v>
      </c>
      <c r="J390" s="32" t="b">
        <f aca="false">FALSE()</f>
        <v>0</v>
      </c>
      <c r="K390" s="32" t="b">
        <f aca="false">FALSE()</f>
        <v>0</v>
      </c>
      <c r="L390" s="32" t="b">
        <f aca="false">FALSE()</f>
        <v>0</v>
      </c>
      <c r="M390" s="32" t="b">
        <f aca="false">FALSE()</f>
        <v>0</v>
      </c>
      <c r="N390" s="6" t="str">
        <f aca="false">IF(OR(AND(B390=2024,C390&gt;=43),AND(B390=2025,C390&lt;=13)),"Temporada 2024-25",IF(AND(B390=2025,C390&gt;=36,C390&lt;=42),"Sep-oct 2025","Resto del año"))</f>
        <v>Resto del año</v>
      </c>
    </row>
    <row r="391" customFormat="false" ht="15" hidden="false" customHeight="false" outlineLevel="0" collapsed="false">
      <c r="A391" s="7" t="s">
        <v>49</v>
      </c>
      <c r="B391" s="7" t="n">
        <v>2024</v>
      </c>
      <c r="C391" s="7" t="n">
        <v>14</v>
      </c>
      <c r="D391" s="7" t="n">
        <v>4</v>
      </c>
      <c r="E391" s="20" t="n">
        <v>2994</v>
      </c>
      <c r="F391" s="20" t="n">
        <v>2829</v>
      </c>
      <c r="G391" s="20" t="n">
        <v>18619</v>
      </c>
      <c r="H391" s="20" t="n">
        <v>18922</v>
      </c>
      <c r="I391" s="31" t="n">
        <v>0.4545</v>
      </c>
      <c r="J391" s="32" t="b">
        <f aca="false">FALSE()</f>
        <v>0</v>
      </c>
      <c r="K391" s="32" t="b">
        <f aca="false">FALSE()</f>
        <v>0</v>
      </c>
      <c r="L391" s="32" t="b">
        <f aca="false">FALSE()</f>
        <v>0</v>
      </c>
      <c r="M391" s="32" t="b">
        <f aca="false">FALSE()</f>
        <v>0</v>
      </c>
      <c r="N391" s="6" t="str">
        <f aca="false">IF(OR(AND(B391=2024,C391&gt;=43),AND(B391=2025,C391&lt;=13)),"Temporada 2024-25",IF(AND(B391=2025,C391&gt;=36,C391&lt;=42),"Sep-oct 2025","Resto del año"))</f>
        <v>Resto del año</v>
      </c>
    </row>
    <row r="392" customFormat="false" ht="15" hidden="false" customHeight="false" outlineLevel="0" collapsed="false">
      <c r="A392" s="7" t="s">
        <v>49</v>
      </c>
      <c r="B392" s="7" t="n">
        <v>2024</v>
      </c>
      <c r="C392" s="7" t="n">
        <v>15</v>
      </c>
      <c r="D392" s="7" t="n">
        <v>4</v>
      </c>
      <c r="E392" s="20" t="n">
        <v>3150</v>
      </c>
      <c r="F392" s="20" t="n">
        <v>3169</v>
      </c>
      <c r="G392" s="20" t="n">
        <v>19222</v>
      </c>
      <c r="H392" s="20" t="n">
        <v>19054</v>
      </c>
      <c r="I392" s="31" t="n">
        <v>0.4724</v>
      </c>
      <c r="J392" s="32" t="b">
        <f aca="false">FALSE()</f>
        <v>0</v>
      </c>
      <c r="K392" s="32" t="b">
        <f aca="false">FALSE()</f>
        <v>0</v>
      </c>
      <c r="L392" s="32" t="b">
        <f aca="false">FALSE()</f>
        <v>0</v>
      </c>
      <c r="M392" s="32" t="b">
        <f aca="false">FALSE()</f>
        <v>0</v>
      </c>
      <c r="N392" s="6" t="str">
        <f aca="false">IF(OR(AND(B392=2024,C392&gt;=43),AND(B392=2025,C392&lt;=13)),"Temporada 2024-25",IF(AND(B392=2025,C392&gt;=36,C392&lt;=42),"Sep-oct 2025","Resto del año"))</f>
        <v>Resto del año</v>
      </c>
    </row>
    <row r="393" customFormat="false" ht="15" hidden="false" customHeight="false" outlineLevel="0" collapsed="false">
      <c r="A393" s="7" t="s">
        <v>49</v>
      </c>
      <c r="B393" s="7" t="n">
        <v>2024</v>
      </c>
      <c r="C393" s="7" t="n">
        <v>16</v>
      </c>
      <c r="D393" s="7" t="n">
        <v>4</v>
      </c>
      <c r="E393" s="20" t="n">
        <v>2408</v>
      </c>
      <c r="F393" s="20" t="n">
        <v>2883</v>
      </c>
      <c r="G393" s="20" t="n">
        <v>17269</v>
      </c>
      <c r="H393" s="20" t="n">
        <v>18071</v>
      </c>
      <c r="I393" s="31" t="n">
        <v>0.487</v>
      </c>
      <c r="J393" s="32" t="b">
        <f aca="false">FALSE()</f>
        <v>0</v>
      </c>
      <c r="K393" s="32" t="b">
        <f aca="false">FALSE()</f>
        <v>0</v>
      </c>
      <c r="L393" s="32" t="b">
        <f aca="false">FALSE()</f>
        <v>0</v>
      </c>
      <c r="M393" s="32" t="b">
        <f aca="false">FALSE()</f>
        <v>0</v>
      </c>
      <c r="N393" s="6" t="str">
        <f aca="false">IF(OR(AND(B393=2024,C393&gt;=43),AND(B393=2025,C393&lt;=13)),"Temporada 2024-25",IF(AND(B393=2025,C393&gt;=36,C393&lt;=42),"Sep-oct 2025","Resto del año"))</f>
        <v>Resto del año</v>
      </c>
    </row>
    <row r="394" customFormat="false" ht="15" hidden="false" customHeight="false" outlineLevel="0" collapsed="false">
      <c r="A394" s="7" t="s">
        <v>49</v>
      </c>
      <c r="B394" s="7" t="n">
        <v>2024</v>
      </c>
      <c r="C394" s="7" t="n">
        <v>17</v>
      </c>
      <c r="D394" s="7" t="n">
        <v>4</v>
      </c>
      <c r="E394" s="20" t="n">
        <v>2590</v>
      </c>
      <c r="F394" s="20" t="n">
        <v>2984</v>
      </c>
      <c r="G394" s="20" t="n">
        <v>19392</v>
      </c>
      <c r="H394" s="20" t="n">
        <v>18138</v>
      </c>
      <c r="I394" s="31" t="n">
        <v>0.5094</v>
      </c>
      <c r="J394" s="32" t="b">
        <f aca="false">FALSE()</f>
        <v>0</v>
      </c>
      <c r="K394" s="32" t="b">
        <f aca="false">FALSE()</f>
        <v>0</v>
      </c>
      <c r="L394" s="32" t="b">
        <f aca="false">FALSE()</f>
        <v>0</v>
      </c>
      <c r="M394" s="32" t="b">
        <f aca="false">FALSE()</f>
        <v>0</v>
      </c>
      <c r="N394" s="6" t="str">
        <f aca="false">IF(OR(AND(B394=2024,C394&gt;=43),AND(B394=2025,C394&lt;=13)),"Temporada 2024-25",IF(AND(B394=2025,C394&gt;=36,C394&lt;=42),"Sep-oct 2025","Resto del año"))</f>
        <v>Resto del año</v>
      </c>
    </row>
    <row r="395" customFormat="false" ht="15" hidden="false" customHeight="false" outlineLevel="0" collapsed="false">
      <c r="A395" s="7" t="s">
        <v>49</v>
      </c>
      <c r="B395" s="7" t="n">
        <v>2024</v>
      </c>
      <c r="C395" s="7" t="n">
        <v>18</v>
      </c>
      <c r="D395" s="7" t="n">
        <v>4</v>
      </c>
      <c r="E395" s="20" t="n">
        <v>2772</v>
      </c>
      <c r="F395" s="20" t="n">
        <v>2916</v>
      </c>
      <c r="G395" s="20" t="n">
        <v>17627</v>
      </c>
      <c r="H395" s="20" t="n">
        <v>17572</v>
      </c>
      <c r="I395" s="31" t="n">
        <v>0.5372</v>
      </c>
      <c r="J395" s="32" t="b">
        <f aca="false">FALSE()</f>
        <v>0</v>
      </c>
      <c r="K395" s="32" t="b">
        <f aca="false">FALSE()</f>
        <v>0</v>
      </c>
      <c r="L395" s="32" t="b">
        <f aca="false">FALSE()</f>
        <v>0</v>
      </c>
      <c r="M395" s="32" t="b">
        <f aca="false">FALSE()</f>
        <v>0</v>
      </c>
      <c r="N395" s="6" t="str">
        <f aca="false">IF(OR(AND(B395=2024,C395&gt;=43),AND(B395=2025,C395&lt;=13)),"Temporada 2024-25",IF(AND(B395=2025,C395&gt;=36,C395&lt;=42),"Sep-oct 2025","Resto del año"))</f>
        <v>Resto del año</v>
      </c>
    </row>
    <row r="396" customFormat="false" ht="15" hidden="false" customHeight="false" outlineLevel="0" collapsed="false">
      <c r="A396" s="7" t="s">
        <v>49</v>
      </c>
      <c r="B396" s="7" t="n">
        <v>2024</v>
      </c>
      <c r="C396" s="7" t="n">
        <v>19</v>
      </c>
      <c r="D396" s="7" t="n">
        <v>5</v>
      </c>
      <c r="E396" s="20" t="n">
        <v>2508</v>
      </c>
      <c r="F396" s="20" t="n">
        <v>2917</v>
      </c>
      <c r="G396" s="20" t="n">
        <v>19220</v>
      </c>
      <c r="H396" s="20" t="n">
        <v>18706</v>
      </c>
      <c r="I396" s="31" t="n">
        <v>0.5466</v>
      </c>
      <c r="J396" s="32" t="b">
        <f aca="false">FALSE()</f>
        <v>0</v>
      </c>
      <c r="K396" s="32" t="b">
        <f aca="false">FALSE()</f>
        <v>0</v>
      </c>
      <c r="L396" s="32" t="b">
        <f aca="false">FALSE()</f>
        <v>0</v>
      </c>
      <c r="M396" s="32" t="b">
        <f aca="false">FALSE()</f>
        <v>0</v>
      </c>
      <c r="N396" s="6" t="str">
        <f aca="false">IF(OR(AND(B396=2024,C396&gt;=43),AND(B396=2025,C396&lt;=13)),"Temporada 2024-25",IF(AND(B396=2025,C396&gt;=36,C396&lt;=42),"Sep-oct 2025","Resto del año"))</f>
        <v>Resto del año</v>
      </c>
    </row>
    <row r="397" customFormat="false" ht="15" hidden="false" customHeight="false" outlineLevel="0" collapsed="false">
      <c r="A397" s="7" t="s">
        <v>49</v>
      </c>
      <c r="B397" s="7" t="n">
        <v>2024</v>
      </c>
      <c r="C397" s="7" t="n">
        <v>20</v>
      </c>
      <c r="D397" s="7" t="n">
        <v>5</v>
      </c>
      <c r="E397" s="20" t="n">
        <v>3053</v>
      </c>
      <c r="F397" s="20" t="n">
        <v>3160</v>
      </c>
      <c r="G397" s="20" t="n">
        <v>19496</v>
      </c>
      <c r="H397" s="20" t="n">
        <v>18476</v>
      </c>
      <c r="I397" s="31" t="n">
        <v>0.5665</v>
      </c>
      <c r="J397" s="32" t="b">
        <f aca="false">FALSE()</f>
        <v>0</v>
      </c>
      <c r="K397" s="32" t="b">
        <f aca="false">FALSE()</f>
        <v>0</v>
      </c>
      <c r="L397" s="32" t="b">
        <f aca="false">FALSE()</f>
        <v>0</v>
      </c>
      <c r="M397" s="32" t="b">
        <f aca="false">FALSE()</f>
        <v>0</v>
      </c>
      <c r="N397" s="6" t="str">
        <f aca="false">IF(OR(AND(B397=2024,C397&gt;=43),AND(B397=2025,C397&lt;=13)),"Temporada 2024-25",IF(AND(B397=2025,C397&gt;=36,C397&lt;=42),"Sep-oct 2025","Resto del año"))</f>
        <v>Resto del año</v>
      </c>
    </row>
    <row r="398" customFormat="false" ht="15" hidden="false" customHeight="false" outlineLevel="0" collapsed="false">
      <c r="A398" s="7" t="s">
        <v>49</v>
      </c>
      <c r="B398" s="7" t="n">
        <v>2024</v>
      </c>
      <c r="C398" s="7" t="n">
        <v>21</v>
      </c>
      <c r="D398" s="7" t="n">
        <v>5</v>
      </c>
      <c r="E398" s="20" t="n">
        <v>3040</v>
      </c>
      <c r="F398" s="20" t="n">
        <v>3101</v>
      </c>
      <c r="G398" s="20" t="n">
        <v>19947</v>
      </c>
      <c r="H398" s="20" t="n">
        <v>19212</v>
      </c>
      <c r="I398" s="31" t="n">
        <v>0.5679</v>
      </c>
      <c r="J398" s="32" t="b">
        <f aca="false">FALSE()</f>
        <v>0</v>
      </c>
      <c r="K398" s="32" t="b">
        <f aca="false">FALSE()</f>
        <v>0</v>
      </c>
      <c r="L398" s="32" t="b">
        <f aca="false">FALSE()</f>
        <v>0</v>
      </c>
      <c r="M398" s="32" t="b">
        <f aca="false">FALSE()</f>
        <v>0</v>
      </c>
      <c r="N398" s="6" t="str">
        <f aca="false">IF(OR(AND(B398=2024,C398&gt;=43),AND(B398=2025,C398&lt;=13)),"Temporada 2024-25",IF(AND(B398=2025,C398&gt;=36,C398&lt;=42),"Sep-oct 2025","Resto del año"))</f>
        <v>Resto del año</v>
      </c>
    </row>
    <row r="399" customFormat="false" ht="15" hidden="false" customHeight="false" outlineLevel="0" collapsed="false">
      <c r="A399" s="7" t="s">
        <v>49</v>
      </c>
      <c r="B399" s="7" t="n">
        <v>2024</v>
      </c>
      <c r="C399" s="7" t="n">
        <v>22</v>
      </c>
      <c r="D399" s="7" t="n">
        <v>5</v>
      </c>
      <c r="E399" s="20" t="n">
        <v>2904</v>
      </c>
      <c r="F399" s="20" t="n">
        <v>2855</v>
      </c>
      <c r="G399" s="20" t="n">
        <v>18472</v>
      </c>
      <c r="H399" s="20" t="n">
        <v>17996</v>
      </c>
      <c r="I399" s="31" t="n">
        <v>0.5641</v>
      </c>
      <c r="J399" s="32" t="b">
        <f aca="false">FALSE()</f>
        <v>0</v>
      </c>
      <c r="K399" s="32" t="b">
        <f aca="false">FALSE()</f>
        <v>0</v>
      </c>
      <c r="L399" s="32" t="b">
        <f aca="false">FALSE()</f>
        <v>0</v>
      </c>
      <c r="M399" s="32" t="b">
        <f aca="false">FALSE()</f>
        <v>0</v>
      </c>
      <c r="N399" s="6" t="str">
        <f aca="false">IF(OR(AND(B399=2024,C399&gt;=43),AND(B399=2025,C399&lt;=13)),"Temporada 2024-25",IF(AND(B399=2025,C399&gt;=36,C399&lt;=42),"Sep-oct 2025","Resto del año"))</f>
        <v>Resto del año</v>
      </c>
    </row>
    <row r="400" customFormat="false" ht="15" hidden="false" customHeight="false" outlineLevel="0" collapsed="false">
      <c r="A400" s="7" t="s">
        <v>49</v>
      </c>
      <c r="B400" s="7" t="n">
        <v>2024</v>
      </c>
      <c r="C400" s="7" t="n">
        <v>23</v>
      </c>
      <c r="D400" s="7" t="n">
        <v>6</v>
      </c>
      <c r="E400" s="20" t="n">
        <v>2496</v>
      </c>
      <c r="F400" s="20" t="n">
        <v>2844</v>
      </c>
      <c r="G400" s="20" t="n">
        <v>17779</v>
      </c>
      <c r="H400" s="20" t="n">
        <v>17587</v>
      </c>
      <c r="I400" s="31" t="n">
        <v>0.5708</v>
      </c>
      <c r="J400" s="32" t="b">
        <f aca="false">FALSE()</f>
        <v>0</v>
      </c>
      <c r="K400" s="32" t="b">
        <f aca="false">FALSE()</f>
        <v>0</v>
      </c>
      <c r="L400" s="32" t="b">
        <f aca="false">FALSE()</f>
        <v>0</v>
      </c>
      <c r="M400" s="32" t="b">
        <f aca="false">FALSE()</f>
        <v>0</v>
      </c>
      <c r="N400" s="6" t="str">
        <f aca="false">IF(OR(AND(B400=2024,C400&gt;=43),AND(B400=2025,C400&lt;=13)),"Temporada 2024-25",IF(AND(B400=2025,C400&gt;=36,C400&lt;=42),"Sep-oct 2025","Resto del año"))</f>
        <v>Resto del año</v>
      </c>
    </row>
    <row r="401" customFormat="false" ht="15" hidden="false" customHeight="false" outlineLevel="0" collapsed="false">
      <c r="A401" s="7" t="s">
        <v>49</v>
      </c>
      <c r="B401" s="7" t="n">
        <v>2024</v>
      </c>
      <c r="C401" s="7" t="n">
        <v>24</v>
      </c>
      <c r="D401" s="7" t="n">
        <v>6</v>
      </c>
      <c r="E401" s="20" t="n">
        <v>2683</v>
      </c>
      <c r="F401" s="20" t="n">
        <v>2734</v>
      </c>
      <c r="G401" s="20" t="n">
        <v>18425</v>
      </c>
      <c r="H401" s="20" t="n">
        <v>18896</v>
      </c>
      <c r="I401" s="31" t="n">
        <v>0.5573</v>
      </c>
      <c r="J401" s="32" t="b">
        <f aca="false">FALSE()</f>
        <v>0</v>
      </c>
      <c r="K401" s="32" t="b">
        <f aca="false">FALSE()</f>
        <v>0</v>
      </c>
      <c r="L401" s="32" t="b">
        <f aca="false">FALSE()</f>
        <v>0</v>
      </c>
      <c r="M401" s="32" t="b">
        <f aca="false">FALSE()</f>
        <v>0</v>
      </c>
      <c r="N401" s="6" t="str">
        <f aca="false">IF(OR(AND(B401=2024,C401&gt;=43),AND(B401=2025,C401&lt;=13)),"Temporada 2024-25",IF(AND(B401=2025,C401&gt;=36,C401&lt;=42),"Sep-oct 2025","Resto del año"))</f>
        <v>Resto del año</v>
      </c>
    </row>
    <row r="402" customFormat="false" ht="15" hidden="false" customHeight="false" outlineLevel="0" collapsed="false">
      <c r="A402" s="7" t="s">
        <v>49</v>
      </c>
      <c r="B402" s="7" t="n">
        <v>2024</v>
      </c>
      <c r="C402" s="7" t="n">
        <v>25</v>
      </c>
      <c r="D402" s="7" t="n">
        <v>6</v>
      </c>
      <c r="E402" s="20" t="n">
        <v>3243</v>
      </c>
      <c r="F402" s="20" t="n">
        <v>3018</v>
      </c>
      <c r="G402" s="20" t="n">
        <v>17943</v>
      </c>
      <c r="H402" s="20" t="n">
        <v>17815</v>
      </c>
      <c r="I402" s="31" t="n">
        <v>0.5778</v>
      </c>
      <c r="J402" s="32" t="b">
        <f aca="false">FALSE()</f>
        <v>0</v>
      </c>
      <c r="K402" s="32" t="b">
        <f aca="false">FALSE()</f>
        <v>0</v>
      </c>
      <c r="L402" s="32" t="b">
        <f aca="false">FALSE()</f>
        <v>0</v>
      </c>
      <c r="M402" s="32" t="b">
        <f aca="false">FALSE()</f>
        <v>0</v>
      </c>
      <c r="N402" s="6" t="str">
        <f aca="false">IF(OR(AND(B402=2024,C402&gt;=43),AND(B402=2025,C402&lt;=13)),"Temporada 2024-25",IF(AND(B402=2025,C402&gt;=36,C402&lt;=42),"Sep-oct 2025","Resto del año"))</f>
        <v>Resto del año</v>
      </c>
    </row>
    <row r="403" customFormat="false" ht="15" hidden="false" customHeight="false" outlineLevel="0" collapsed="false">
      <c r="A403" s="7" t="s">
        <v>49</v>
      </c>
      <c r="B403" s="7" t="n">
        <v>2024</v>
      </c>
      <c r="C403" s="7" t="n">
        <v>26</v>
      </c>
      <c r="D403" s="7" t="n">
        <v>6</v>
      </c>
      <c r="E403" s="20" t="n">
        <v>2930</v>
      </c>
      <c r="F403" s="20" t="n">
        <v>2955</v>
      </c>
      <c r="G403" s="20" t="n">
        <v>17781</v>
      </c>
      <c r="H403" s="20" t="n">
        <v>17760</v>
      </c>
      <c r="I403" s="31" t="n">
        <v>0.591</v>
      </c>
      <c r="J403" s="32" t="b">
        <f aca="false">FALSE()</f>
        <v>0</v>
      </c>
      <c r="K403" s="32" t="b">
        <f aca="false">FALSE()</f>
        <v>0</v>
      </c>
      <c r="L403" s="32" t="b">
        <f aca="false">FALSE()</f>
        <v>0</v>
      </c>
      <c r="M403" s="32" t="b">
        <f aca="false">FALSE()</f>
        <v>0</v>
      </c>
      <c r="N403" s="6" t="str">
        <f aca="false">IF(OR(AND(B403=2024,C403&gt;=43),AND(B403=2025,C403&lt;=13)),"Temporada 2024-25",IF(AND(B403=2025,C403&gt;=36,C403&lt;=42),"Sep-oct 2025","Resto del año"))</f>
        <v>Resto del año</v>
      </c>
    </row>
    <row r="404" customFormat="false" ht="15" hidden="false" customHeight="false" outlineLevel="0" collapsed="false">
      <c r="A404" s="7" t="s">
        <v>49</v>
      </c>
      <c r="B404" s="7" t="n">
        <v>2024</v>
      </c>
      <c r="C404" s="7" t="n">
        <v>27</v>
      </c>
      <c r="D404" s="7" t="n">
        <v>7</v>
      </c>
      <c r="E404" s="20" t="n">
        <v>2880</v>
      </c>
      <c r="F404" s="20" t="n">
        <v>2967</v>
      </c>
      <c r="G404" s="20" t="n">
        <v>18496</v>
      </c>
      <c r="H404" s="20" t="n">
        <v>17568</v>
      </c>
      <c r="I404" s="31" t="n">
        <v>0.5951</v>
      </c>
      <c r="J404" s="32" t="b">
        <f aca="false">FALSE()</f>
        <v>0</v>
      </c>
      <c r="K404" s="32" t="b">
        <f aca="false">FALSE()</f>
        <v>0</v>
      </c>
      <c r="L404" s="32" t="b">
        <f aca="false">FALSE()</f>
        <v>0</v>
      </c>
      <c r="M404" s="32" t="b">
        <f aca="false">FALSE()</f>
        <v>0</v>
      </c>
      <c r="N404" s="6" t="str">
        <f aca="false">IF(OR(AND(B404=2024,C404&gt;=43),AND(B404=2025,C404&lt;=13)),"Temporada 2024-25",IF(AND(B404=2025,C404&gt;=36,C404&lt;=42),"Sep-oct 2025","Resto del año"))</f>
        <v>Resto del año</v>
      </c>
    </row>
    <row r="405" customFormat="false" ht="15" hidden="false" customHeight="false" outlineLevel="0" collapsed="false">
      <c r="A405" s="7" t="s">
        <v>49</v>
      </c>
      <c r="B405" s="7" t="n">
        <v>2024</v>
      </c>
      <c r="C405" s="7" t="n">
        <v>28</v>
      </c>
      <c r="D405" s="7" t="n">
        <v>7</v>
      </c>
      <c r="E405" s="20" t="n">
        <v>2972</v>
      </c>
      <c r="F405" s="20" t="n">
        <v>2842</v>
      </c>
      <c r="G405" s="20" t="n">
        <v>18819</v>
      </c>
      <c r="H405" s="20" t="n">
        <v>17457</v>
      </c>
      <c r="I405" s="31" t="n">
        <v>0.591</v>
      </c>
      <c r="J405" s="32" t="b">
        <f aca="false">FALSE()</f>
        <v>0</v>
      </c>
      <c r="K405" s="32" t="b">
        <f aca="false">FALSE()</f>
        <v>0</v>
      </c>
      <c r="L405" s="32" t="b">
        <f aca="false">FALSE()</f>
        <v>0</v>
      </c>
      <c r="M405" s="32" t="b">
        <f aca="false">FALSE()</f>
        <v>0</v>
      </c>
      <c r="N405" s="6" t="str">
        <f aca="false">IF(OR(AND(B405=2024,C405&gt;=43),AND(B405=2025,C405&lt;=13)),"Temporada 2024-25",IF(AND(B405=2025,C405&gt;=36,C405&lt;=42),"Sep-oct 2025","Resto del año"))</f>
        <v>Resto del año</v>
      </c>
    </row>
    <row r="406" customFormat="false" ht="15" hidden="false" customHeight="false" outlineLevel="0" collapsed="false">
      <c r="A406" s="7" t="s">
        <v>49</v>
      </c>
      <c r="B406" s="7" t="n">
        <v>2024</v>
      </c>
      <c r="C406" s="7" t="n">
        <v>29</v>
      </c>
      <c r="D406" s="7" t="n">
        <v>7</v>
      </c>
      <c r="E406" s="20" t="n">
        <v>3067</v>
      </c>
      <c r="F406" s="20" t="n">
        <v>3105</v>
      </c>
      <c r="G406" s="20" t="n">
        <v>18393</v>
      </c>
      <c r="H406" s="20" t="n">
        <v>19042</v>
      </c>
      <c r="I406" s="31" t="n">
        <v>0.5992</v>
      </c>
      <c r="J406" s="32" t="b">
        <f aca="false">FALSE()</f>
        <v>0</v>
      </c>
      <c r="K406" s="32" t="b">
        <f aca="false">FALSE()</f>
        <v>0</v>
      </c>
      <c r="L406" s="32" t="b">
        <f aca="false">FALSE()</f>
        <v>0</v>
      </c>
      <c r="M406" s="32" t="b">
        <f aca="false">FALSE()</f>
        <v>0</v>
      </c>
      <c r="N406" s="6" t="str">
        <f aca="false">IF(OR(AND(B406=2024,C406&gt;=43),AND(B406=2025,C406&lt;=13)),"Temporada 2024-25",IF(AND(B406=2025,C406&gt;=36,C406&lt;=42),"Sep-oct 2025","Resto del año"))</f>
        <v>Resto del año</v>
      </c>
    </row>
    <row r="407" customFormat="false" ht="15" hidden="false" customHeight="false" outlineLevel="0" collapsed="false">
      <c r="A407" s="7" t="s">
        <v>49</v>
      </c>
      <c r="B407" s="7" t="n">
        <v>2024</v>
      </c>
      <c r="C407" s="7" t="n">
        <v>30</v>
      </c>
      <c r="D407" s="7" t="n">
        <v>7</v>
      </c>
      <c r="E407" s="20" t="n">
        <v>2490</v>
      </c>
      <c r="F407" s="20" t="n">
        <v>2625</v>
      </c>
      <c r="G407" s="20" t="n">
        <v>17082</v>
      </c>
      <c r="H407" s="20" t="n">
        <v>16781</v>
      </c>
      <c r="I407" s="31" t="n">
        <v>0.6002</v>
      </c>
      <c r="J407" s="32" t="b">
        <f aca="false">FALSE()</f>
        <v>0</v>
      </c>
      <c r="K407" s="32" t="b">
        <f aca="false">FALSE()</f>
        <v>0</v>
      </c>
      <c r="L407" s="32" t="b">
        <f aca="false">FALSE()</f>
        <v>0</v>
      </c>
      <c r="M407" s="32" t="b">
        <f aca="false">FALSE()</f>
        <v>0</v>
      </c>
      <c r="N407" s="6" t="str">
        <f aca="false">IF(OR(AND(B407=2024,C407&gt;=43),AND(B407=2025,C407&lt;=13)),"Temporada 2024-25",IF(AND(B407=2025,C407&gt;=36,C407&lt;=42),"Sep-oct 2025","Resto del año"))</f>
        <v>Resto del año</v>
      </c>
    </row>
    <row r="408" customFormat="false" ht="15" hidden="false" customHeight="false" outlineLevel="0" collapsed="false">
      <c r="A408" s="7" t="s">
        <v>49</v>
      </c>
      <c r="B408" s="7" t="n">
        <v>2024</v>
      </c>
      <c r="C408" s="7" t="n">
        <v>31</v>
      </c>
      <c r="D408" s="7" t="n">
        <v>7</v>
      </c>
      <c r="E408" s="20" t="n">
        <v>2777</v>
      </c>
      <c r="F408" s="20" t="n">
        <v>3012</v>
      </c>
      <c r="G408" s="20" t="n">
        <v>19799</v>
      </c>
      <c r="H408" s="20" t="n">
        <v>18488</v>
      </c>
      <c r="I408" s="31" t="n">
        <v>0.6059</v>
      </c>
      <c r="J408" s="32" t="b">
        <f aca="false">FALSE()</f>
        <v>0</v>
      </c>
      <c r="K408" s="32" t="b">
        <f aca="false">FALSE()</f>
        <v>0</v>
      </c>
      <c r="L408" s="32" t="b">
        <f aca="false">FALSE()</f>
        <v>0</v>
      </c>
      <c r="M408" s="32" t="b">
        <f aca="false">FALSE()</f>
        <v>0</v>
      </c>
      <c r="N408" s="6" t="str">
        <f aca="false">IF(OR(AND(B408=2024,C408&gt;=43),AND(B408=2025,C408&lt;=13)),"Temporada 2024-25",IF(AND(B408=2025,C408&gt;=36,C408&lt;=42),"Sep-oct 2025","Resto del año"))</f>
        <v>Resto del año</v>
      </c>
    </row>
    <row r="409" customFormat="false" ht="15" hidden="false" customHeight="false" outlineLevel="0" collapsed="false">
      <c r="A409" s="7" t="s">
        <v>49</v>
      </c>
      <c r="B409" s="7" t="n">
        <v>2024</v>
      </c>
      <c r="C409" s="7" t="n">
        <v>32</v>
      </c>
      <c r="D409" s="7" t="n">
        <v>8</v>
      </c>
      <c r="E409" s="20" t="n">
        <v>2342</v>
      </c>
      <c r="F409" s="20" t="n">
        <v>2747</v>
      </c>
      <c r="G409" s="20" t="n">
        <v>16286</v>
      </c>
      <c r="H409" s="20" t="n">
        <v>17114</v>
      </c>
      <c r="I409" s="31" t="n">
        <v>0.6057</v>
      </c>
      <c r="J409" s="32" t="b">
        <f aca="false">FALSE()</f>
        <v>0</v>
      </c>
      <c r="K409" s="32" t="b">
        <f aca="false">FALSE()</f>
        <v>0</v>
      </c>
      <c r="L409" s="32" t="b">
        <f aca="false">FALSE()</f>
        <v>0</v>
      </c>
      <c r="M409" s="32" t="b">
        <f aca="false">FALSE()</f>
        <v>0</v>
      </c>
      <c r="N409" s="6" t="str">
        <f aca="false">IF(OR(AND(B409=2024,C409&gt;=43),AND(B409=2025,C409&lt;=13)),"Temporada 2024-25",IF(AND(B409=2025,C409&gt;=36,C409&lt;=42),"Sep-oct 2025","Resto del año"))</f>
        <v>Resto del año</v>
      </c>
    </row>
    <row r="410" customFormat="false" ht="15" hidden="false" customHeight="false" outlineLevel="0" collapsed="false">
      <c r="A410" s="7" t="s">
        <v>49</v>
      </c>
      <c r="B410" s="7" t="n">
        <v>2024</v>
      </c>
      <c r="C410" s="7" t="n">
        <v>33</v>
      </c>
      <c r="D410" s="7" t="n">
        <v>8</v>
      </c>
      <c r="E410" s="20" t="n">
        <v>2740</v>
      </c>
      <c r="F410" s="20" t="n">
        <v>2948</v>
      </c>
      <c r="G410" s="20" t="n">
        <v>17096</v>
      </c>
      <c r="H410" s="20" t="n">
        <v>17825</v>
      </c>
      <c r="I410" s="31" t="n">
        <v>0.6134</v>
      </c>
      <c r="J410" s="32" t="b">
        <f aca="false">FALSE()</f>
        <v>0</v>
      </c>
      <c r="K410" s="32" t="b">
        <f aca="false">FALSE()</f>
        <v>0</v>
      </c>
      <c r="L410" s="32" t="b">
        <f aca="false">FALSE()</f>
        <v>0</v>
      </c>
      <c r="M410" s="32" t="b">
        <f aca="false">FALSE()</f>
        <v>0</v>
      </c>
      <c r="N410" s="6" t="str">
        <f aca="false">IF(OR(AND(B410=2024,C410&gt;=43),AND(B410=2025,C410&lt;=13)),"Temporada 2024-25",IF(AND(B410=2025,C410&gt;=36,C410&lt;=42),"Sep-oct 2025","Resto del año"))</f>
        <v>Resto del año</v>
      </c>
    </row>
    <row r="411" customFormat="false" ht="15" hidden="false" customHeight="false" outlineLevel="0" collapsed="false">
      <c r="A411" s="7" t="s">
        <v>49</v>
      </c>
      <c r="B411" s="7" t="n">
        <v>2024</v>
      </c>
      <c r="C411" s="7" t="n">
        <v>34</v>
      </c>
      <c r="D411" s="7" t="n">
        <v>8</v>
      </c>
      <c r="E411" s="20" t="n">
        <v>2818</v>
      </c>
      <c r="F411" s="20" t="n">
        <v>2866</v>
      </c>
      <c r="G411" s="20" t="n">
        <v>19682</v>
      </c>
      <c r="H411" s="20" t="n">
        <v>18283</v>
      </c>
      <c r="I411" s="31" t="n">
        <v>0.6128</v>
      </c>
      <c r="J411" s="32" t="b">
        <f aca="false">FALSE()</f>
        <v>0</v>
      </c>
      <c r="K411" s="32" t="b">
        <f aca="false">FALSE()</f>
        <v>0</v>
      </c>
      <c r="L411" s="32" t="b">
        <f aca="false">FALSE()</f>
        <v>0</v>
      </c>
      <c r="M411" s="32" t="b">
        <f aca="false">FALSE()</f>
        <v>0</v>
      </c>
      <c r="N411" s="6" t="str">
        <f aca="false">IF(OR(AND(B411=2024,C411&gt;=43),AND(B411=2025,C411&lt;=13)),"Temporada 2024-25",IF(AND(B411=2025,C411&gt;=36,C411&lt;=42),"Sep-oct 2025","Resto del año"))</f>
        <v>Resto del año</v>
      </c>
    </row>
    <row r="412" customFormat="false" ht="15" hidden="false" customHeight="false" outlineLevel="0" collapsed="false">
      <c r="A412" s="7" t="s">
        <v>49</v>
      </c>
      <c r="B412" s="7" t="n">
        <v>2024</v>
      </c>
      <c r="C412" s="7" t="n">
        <v>35</v>
      </c>
      <c r="D412" s="7" t="n">
        <v>8</v>
      </c>
      <c r="E412" s="20" t="n">
        <v>2710</v>
      </c>
      <c r="F412" s="20" t="n">
        <v>2849</v>
      </c>
      <c r="G412" s="20" t="n">
        <v>17903</v>
      </c>
      <c r="H412" s="20" t="n">
        <v>16950</v>
      </c>
      <c r="I412" s="31" t="n">
        <v>0.6188</v>
      </c>
      <c r="J412" s="32" t="b">
        <f aca="false">FALSE()</f>
        <v>0</v>
      </c>
      <c r="K412" s="32" t="b">
        <f aca="false">FALSE()</f>
        <v>0</v>
      </c>
      <c r="L412" s="32" t="b">
        <f aca="false">FALSE()</f>
        <v>0</v>
      </c>
      <c r="M412" s="32" t="b">
        <f aca="false">FALSE()</f>
        <v>0</v>
      </c>
      <c r="N412" s="6" t="str">
        <f aca="false">IF(OR(AND(B412=2024,C412&gt;=43),AND(B412=2025,C412&lt;=13)),"Temporada 2024-25",IF(AND(B412=2025,C412&gt;=36,C412&lt;=42),"Sep-oct 2025","Resto del año"))</f>
        <v>Resto del año</v>
      </c>
    </row>
    <row r="413" customFormat="false" ht="15" hidden="false" customHeight="false" outlineLevel="0" collapsed="false">
      <c r="A413" s="7" t="s">
        <v>49</v>
      </c>
      <c r="B413" s="7" t="n">
        <v>2024</v>
      </c>
      <c r="C413" s="7" t="n">
        <v>36</v>
      </c>
      <c r="D413" s="7" t="n">
        <v>9</v>
      </c>
      <c r="E413" s="20" t="n">
        <v>2839</v>
      </c>
      <c r="F413" s="20" t="n">
        <v>2906</v>
      </c>
      <c r="G413" s="20" t="n">
        <v>17445</v>
      </c>
      <c r="H413" s="20" t="n">
        <v>17692</v>
      </c>
      <c r="I413" s="31" t="n">
        <v>0.6192</v>
      </c>
      <c r="J413" s="32" t="b">
        <f aca="false">FALSE()</f>
        <v>0</v>
      </c>
      <c r="K413" s="32" t="b">
        <f aca="false">FALSE()</f>
        <v>0</v>
      </c>
      <c r="L413" s="32" t="b">
        <f aca="false">FALSE()</f>
        <v>0</v>
      </c>
      <c r="M413" s="32" t="b">
        <f aca="false">FALSE()</f>
        <v>0</v>
      </c>
      <c r="N413" s="6" t="str">
        <f aca="false">IF(OR(AND(B413=2024,C413&gt;=43),AND(B413=2025,C413&lt;=13)),"Temporada 2024-25",IF(AND(B413=2025,C413&gt;=36,C413&lt;=42),"Sep-oct 2025","Resto del año"))</f>
        <v>Resto del año</v>
      </c>
    </row>
    <row r="414" customFormat="false" ht="15" hidden="false" customHeight="false" outlineLevel="0" collapsed="false">
      <c r="A414" s="7" t="s">
        <v>49</v>
      </c>
      <c r="B414" s="7" t="n">
        <v>2024</v>
      </c>
      <c r="C414" s="7" t="n">
        <v>37</v>
      </c>
      <c r="D414" s="7" t="n">
        <v>9</v>
      </c>
      <c r="E414" s="20" t="n">
        <v>2607</v>
      </c>
      <c r="F414" s="20" t="n">
        <v>2610</v>
      </c>
      <c r="G414" s="20" t="n">
        <v>17670</v>
      </c>
      <c r="H414" s="20" t="n">
        <v>16998</v>
      </c>
      <c r="I414" s="31" t="n">
        <v>0.6135</v>
      </c>
      <c r="J414" s="32" t="b">
        <f aca="false">FALSE()</f>
        <v>0</v>
      </c>
      <c r="K414" s="32" t="b">
        <f aca="false">FALSE()</f>
        <v>0</v>
      </c>
      <c r="L414" s="32" t="b">
        <f aca="false">FALSE()</f>
        <v>0</v>
      </c>
      <c r="M414" s="32" t="b">
        <f aca="false">FALSE()</f>
        <v>0</v>
      </c>
      <c r="N414" s="6" t="str">
        <f aca="false">IF(OR(AND(B414=2024,C414&gt;=43),AND(B414=2025,C414&lt;=13)),"Temporada 2024-25",IF(AND(B414=2025,C414&gt;=36,C414&lt;=42),"Sep-oct 2025","Resto del año"))</f>
        <v>Resto del año</v>
      </c>
    </row>
    <row r="415" customFormat="false" ht="15" hidden="false" customHeight="false" outlineLevel="0" collapsed="false">
      <c r="A415" s="7" t="s">
        <v>49</v>
      </c>
      <c r="B415" s="7" t="n">
        <v>2024</v>
      </c>
      <c r="C415" s="7" t="n">
        <v>38</v>
      </c>
      <c r="D415" s="7" t="n">
        <v>9</v>
      </c>
      <c r="E415" s="20" t="n">
        <v>2740</v>
      </c>
      <c r="F415" s="20" t="n">
        <v>2907</v>
      </c>
      <c r="G415" s="20" t="n">
        <v>18281</v>
      </c>
      <c r="H415" s="20" t="n">
        <v>18872</v>
      </c>
      <c r="I415" s="31" t="n">
        <v>0.6038</v>
      </c>
      <c r="J415" s="32" t="b">
        <f aca="false">FALSE()</f>
        <v>0</v>
      </c>
      <c r="K415" s="32" t="b">
        <f aca="false">FALSE()</f>
        <v>0</v>
      </c>
      <c r="L415" s="32" t="b">
        <f aca="false">FALSE()</f>
        <v>0</v>
      </c>
      <c r="M415" s="32" t="b">
        <f aca="false">FALSE()</f>
        <v>0</v>
      </c>
      <c r="N415" s="6" t="str">
        <f aca="false">IF(OR(AND(B415=2024,C415&gt;=43),AND(B415=2025,C415&lt;=13)),"Temporada 2024-25",IF(AND(B415=2025,C415&gt;=36,C415&lt;=42),"Sep-oct 2025","Resto del año"))</f>
        <v>Resto del año</v>
      </c>
    </row>
    <row r="416" customFormat="false" ht="15" hidden="false" customHeight="false" outlineLevel="0" collapsed="false">
      <c r="A416" s="7" t="s">
        <v>49</v>
      </c>
      <c r="B416" s="7" t="n">
        <v>2024</v>
      </c>
      <c r="C416" s="7" t="n">
        <v>39</v>
      </c>
      <c r="D416" s="7" t="n">
        <v>9</v>
      </c>
      <c r="E416" s="20" t="n">
        <v>2848</v>
      </c>
      <c r="F416" s="20" t="n">
        <v>2835</v>
      </c>
      <c r="G416" s="20" t="n">
        <v>17394</v>
      </c>
      <c r="H416" s="20" t="n">
        <v>17072</v>
      </c>
      <c r="I416" s="31" t="n">
        <v>0.6145</v>
      </c>
      <c r="J416" s="32" t="b">
        <f aca="false">FALSE()</f>
        <v>0</v>
      </c>
      <c r="K416" s="32" t="b">
        <f aca="false">FALSE()</f>
        <v>0</v>
      </c>
      <c r="L416" s="32" t="b">
        <f aca="false">FALSE()</f>
        <v>0</v>
      </c>
      <c r="M416" s="32" t="b">
        <f aca="false">FALSE()</f>
        <v>0</v>
      </c>
      <c r="N416" s="6" t="str">
        <f aca="false">IF(OR(AND(B416=2024,C416&gt;=43),AND(B416=2025,C416&lt;=13)),"Temporada 2024-25",IF(AND(B416=2025,C416&gt;=36,C416&lt;=42),"Sep-oct 2025","Resto del año"))</f>
        <v>Resto del año</v>
      </c>
    </row>
    <row r="417" customFormat="false" ht="15" hidden="false" customHeight="false" outlineLevel="0" collapsed="false">
      <c r="A417" s="7" t="s">
        <v>49</v>
      </c>
      <c r="B417" s="7" t="n">
        <v>2024</v>
      </c>
      <c r="C417" s="7" t="n">
        <v>40</v>
      </c>
      <c r="D417" s="7" t="n">
        <v>9</v>
      </c>
      <c r="E417" s="20" t="n">
        <v>2087</v>
      </c>
      <c r="F417" s="20" t="n">
        <v>2636</v>
      </c>
      <c r="G417" s="20" t="n">
        <v>17805</v>
      </c>
      <c r="H417" s="20" t="n">
        <v>17131</v>
      </c>
      <c r="I417" s="31" t="n">
        <v>0.6058</v>
      </c>
      <c r="J417" s="32" t="b">
        <f aca="false">FALSE()</f>
        <v>0</v>
      </c>
      <c r="K417" s="32" t="b">
        <f aca="false">FALSE()</f>
        <v>0</v>
      </c>
      <c r="L417" s="32" t="b">
        <f aca="false">FALSE()</f>
        <v>0</v>
      </c>
      <c r="M417" s="32" t="b">
        <f aca="false">FALSE()</f>
        <v>0</v>
      </c>
      <c r="N417" s="6" t="str">
        <f aca="false">IF(OR(AND(B417=2024,C417&gt;=43),AND(B417=2025,C417&lt;=13)),"Temporada 2024-25",IF(AND(B417=2025,C417&gt;=36,C417&lt;=42),"Sep-oct 2025","Resto del año"))</f>
        <v>Resto del año</v>
      </c>
    </row>
    <row r="418" customFormat="false" ht="15" hidden="false" customHeight="false" outlineLevel="0" collapsed="false">
      <c r="A418" s="7" t="s">
        <v>49</v>
      </c>
      <c r="B418" s="7" t="n">
        <v>2024</v>
      </c>
      <c r="C418" s="7" t="n">
        <v>41</v>
      </c>
      <c r="D418" s="7" t="n">
        <v>10</v>
      </c>
      <c r="E418" s="20" t="n">
        <v>2446</v>
      </c>
      <c r="F418" s="20" t="n">
        <v>2963</v>
      </c>
      <c r="G418" s="20" t="n">
        <v>16688</v>
      </c>
      <c r="H418" s="20" t="n">
        <v>16862</v>
      </c>
      <c r="I418" s="31" t="n">
        <v>0.6272</v>
      </c>
      <c r="J418" s="32" t="b">
        <f aca="false">FALSE()</f>
        <v>0</v>
      </c>
      <c r="K418" s="32" t="b">
        <f aca="false">FALSE()</f>
        <v>0</v>
      </c>
      <c r="L418" s="32" t="b">
        <f aca="false">FALSE()</f>
        <v>0</v>
      </c>
      <c r="M418" s="32" t="b">
        <f aca="false">FALSE()</f>
        <v>0</v>
      </c>
      <c r="N418" s="6" t="str">
        <f aca="false">IF(OR(AND(B418=2024,C418&gt;=43),AND(B418=2025,C418&lt;=13)),"Temporada 2024-25",IF(AND(B418=2025,C418&gt;=36,C418&lt;=42),"Sep-oct 2025","Resto del año"))</f>
        <v>Resto del año</v>
      </c>
    </row>
    <row r="419" customFormat="false" ht="15" hidden="false" customHeight="false" outlineLevel="0" collapsed="false">
      <c r="A419" s="7" t="s">
        <v>49</v>
      </c>
      <c r="B419" s="7" t="n">
        <v>2024</v>
      </c>
      <c r="C419" s="7" t="n">
        <v>42</v>
      </c>
      <c r="D419" s="7" t="n">
        <v>10</v>
      </c>
      <c r="E419" s="20" t="n">
        <v>2565</v>
      </c>
      <c r="F419" s="20" t="n">
        <v>2993</v>
      </c>
      <c r="G419" s="20" t="n">
        <v>19416</v>
      </c>
      <c r="H419" s="20" t="n">
        <v>18510</v>
      </c>
      <c r="I419" s="31" t="n">
        <v>0.6312</v>
      </c>
      <c r="J419" s="32" t="b">
        <f aca="false">FALSE()</f>
        <v>0</v>
      </c>
      <c r="K419" s="32" t="b">
        <f aca="false">FALSE()</f>
        <v>0</v>
      </c>
      <c r="L419" s="32" t="b">
        <f aca="false">FALSE()</f>
        <v>0</v>
      </c>
      <c r="M419" s="32" t="b">
        <f aca="false">FALSE()</f>
        <v>0</v>
      </c>
      <c r="N419" s="6" t="str">
        <f aca="false">IF(OR(AND(B419=2024,C419&gt;=43),AND(B419=2025,C419&lt;=13)),"Temporada 2024-25",IF(AND(B419=2025,C419&gt;=36,C419&lt;=42),"Sep-oct 2025","Resto del año"))</f>
        <v>Resto del año</v>
      </c>
    </row>
    <row r="420" customFormat="false" ht="15" hidden="false" customHeight="false" outlineLevel="0" collapsed="false">
      <c r="A420" s="7" t="s">
        <v>49</v>
      </c>
      <c r="B420" s="7" t="n">
        <v>2024</v>
      </c>
      <c r="C420" s="7" t="n">
        <v>43</v>
      </c>
      <c r="D420" s="7" t="n">
        <v>10</v>
      </c>
      <c r="E420" s="20" t="n">
        <v>2293</v>
      </c>
      <c r="F420" s="20" t="n">
        <v>2776</v>
      </c>
      <c r="G420" s="20" t="n">
        <v>18021</v>
      </c>
      <c r="H420" s="20" t="n">
        <v>17524</v>
      </c>
      <c r="I420" s="31" t="n">
        <v>0.6403</v>
      </c>
      <c r="J420" s="32" t="b">
        <f aca="false">FALSE()</f>
        <v>0</v>
      </c>
      <c r="K420" s="32" t="b">
        <f aca="false">FALSE()</f>
        <v>0</v>
      </c>
      <c r="L420" s="32" t="b">
        <f aca="false">FALSE()</f>
        <v>0</v>
      </c>
      <c r="M420" s="32" t="b">
        <f aca="false">FALSE()</f>
        <v>0</v>
      </c>
      <c r="N420" s="6" t="str">
        <f aca="false">IF(OR(AND(B420=2024,C420&gt;=43),AND(B420=2025,C420&lt;=13)),"Temporada 2024-25",IF(AND(B420=2025,C420&gt;=36,C420&lt;=42),"Sep-oct 2025","Resto del año"))</f>
        <v>Temporada 2024-25</v>
      </c>
    </row>
    <row r="421" customFormat="false" ht="15" hidden="false" customHeight="false" outlineLevel="0" collapsed="false">
      <c r="A421" s="7" t="s">
        <v>49</v>
      </c>
      <c r="B421" s="7" t="n">
        <v>2024</v>
      </c>
      <c r="C421" s="7" t="n">
        <v>44</v>
      </c>
      <c r="D421" s="7" t="n">
        <v>10</v>
      </c>
      <c r="E421" s="20" t="n">
        <v>1983</v>
      </c>
      <c r="F421" s="20" t="n">
        <v>3002</v>
      </c>
      <c r="G421" s="20" t="n">
        <v>18354</v>
      </c>
      <c r="H421" s="20" t="n">
        <v>17332</v>
      </c>
      <c r="I421" s="31" t="n">
        <v>0.654</v>
      </c>
      <c r="J421" s="32" t="b">
        <f aca="false">FALSE()</f>
        <v>0</v>
      </c>
      <c r="K421" s="32" t="b">
        <f aca="false">FALSE()</f>
        <v>0</v>
      </c>
      <c r="L421" s="32" t="b">
        <f aca="false">FALSE()</f>
        <v>0</v>
      </c>
      <c r="M421" s="32" t="b">
        <f aca="false">FALSE()</f>
        <v>0</v>
      </c>
      <c r="N421" s="6" t="str">
        <f aca="false">IF(OR(AND(B421=2024,C421&gt;=43),AND(B421=2025,C421&lt;=13)),"Temporada 2024-25",IF(AND(B421=2025,C421&gt;=36,C421&lt;=42),"Sep-oct 2025","Resto del año"))</f>
        <v>Temporada 2024-25</v>
      </c>
    </row>
    <row r="422" customFormat="false" ht="15" hidden="false" customHeight="false" outlineLevel="0" collapsed="false">
      <c r="A422" s="7" t="s">
        <v>49</v>
      </c>
      <c r="B422" s="7" t="n">
        <v>2024</v>
      </c>
      <c r="C422" s="7" t="n">
        <v>45</v>
      </c>
      <c r="D422" s="7" t="n">
        <v>11</v>
      </c>
      <c r="E422" s="20" t="n">
        <v>2240</v>
      </c>
      <c r="F422" s="20" t="n">
        <v>3012</v>
      </c>
      <c r="G422" s="20" t="n">
        <v>16835</v>
      </c>
      <c r="H422" s="20" t="n">
        <v>16849</v>
      </c>
      <c r="I422" s="31" t="n">
        <v>0.6673</v>
      </c>
      <c r="J422" s="32" t="b">
        <f aca="false">FALSE()</f>
        <v>0</v>
      </c>
      <c r="K422" s="32" t="b">
        <f aca="false">FALSE()</f>
        <v>0</v>
      </c>
      <c r="L422" s="32" t="b">
        <f aca="false">FALSE()</f>
        <v>0</v>
      </c>
      <c r="M422" s="32" t="b">
        <f aca="false">FALSE()</f>
        <v>0</v>
      </c>
      <c r="N422" s="6" t="str">
        <f aca="false">IF(OR(AND(B422=2024,C422&gt;=43),AND(B422=2025,C422&lt;=13)),"Temporada 2024-25",IF(AND(B422=2025,C422&gt;=36,C422&lt;=42),"Sep-oct 2025","Resto del año"))</f>
        <v>Temporada 2024-25</v>
      </c>
    </row>
    <row r="423" customFormat="false" ht="15" hidden="false" customHeight="false" outlineLevel="0" collapsed="false">
      <c r="A423" s="7" t="s">
        <v>49</v>
      </c>
      <c r="B423" s="7" t="n">
        <v>2024</v>
      </c>
      <c r="C423" s="7" t="n">
        <v>46</v>
      </c>
      <c r="D423" s="7" t="n">
        <v>11</v>
      </c>
      <c r="E423" s="20" t="n">
        <v>3461</v>
      </c>
      <c r="F423" s="20" t="n">
        <v>4207</v>
      </c>
      <c r="G423" s="20" t="n">
        <v>18842</v>
      </c>
      <c r="H423" s="20" t="n">
        <v>17492</v>
      </c>
      <c r="I423" s="31" t="n">
        <v>0.7398</v>
      </c>
      <c r="J423" s="32" t="b">
        <f aca="false">FALSE()</f>
        <v>0</v>
      </c>
      <c r="K423" s="32" t="b">
        <f aca="false">FALSE()</f>
        <v>0</v>
      </c>
      <c r="L423" s="32" t="b">
        <f aca="false">FALSE()</f>
        <v>0</v>
      </c>
      <c r="M423" s="32" t="b">
        <f aca="false">FALSE()</f>
        <v>0</v>
      </c>
      <c r="N423" s="6" t="str">
        <f aca="false">IF(OR(AND(B423=2024,C423&gt;=43),AND(B423=2025,C423&lt;=13)),"Temporada 2024-25",IF(AND(B423=2025,C423&gt;=36,C423&lt;=42),"Sep-oct 2025","Resto del año"))</f>
        <v>Temporada 2024-25</v>
      </c>
    </row>
    <row r="424" customFormat="false" ht="15" hidden="false" customHeight="false" outlineLevel="0" collapsed="false">
      <c r="A424" s="7" t="s">
        <v>49</v>
      </c>
      <c r="B424" s="7" t="n">
        <v>2024</v>
      </c>
      <c r="C424" s="7" t="n">
        <v>47</v>
      </c>
      <c r="D424" s="7" t="n">
        <v>11</v>
      </c>
      <c r="E424" s="20" t="n">
        <v>3553</v>
      </c>
      <c r="F424" s="20" t="n">
        <v>4594</v>
      </c>
      <c r="G424" s="20" t="n">
        <v>18250</v>
      </c>
      <c r="H424" s="20" t="n">
        <v>17996</v>
      </c>
      <c r="I424" s="31" t="n">
        <v>0.8282</v>
      </c>
      <c r="J424" s="32" t="b">
        <f aca="false">FALSE()</f>
        <v>0</v>
      </c>
      <c r="K424" s="32" t="b">
        <f aca="false">FALSE()</f>
        <v>0</v>
      </c>
      <c r="L424" s="32" t="b">
        <f aca="false">FALSE()</f>
        <v>0</v>
      </c>
      <c r="M424" s="32" t="b">
        <f aca="false">FALSE()</f>
        <v>0</v>
      </c>
      <c r="N424" s="6" t="str">
        <f aca="false">IF(OR(AND(B424=2024,C424&gt;=43),AND(B424=2025,C424&lt;=13)),"Temporada 2024-25",IF(AND(B424=2025,C424&gt;=36,C424&lt;=42),"Sep-oct 2025","Resto del año"))</f>
        <v>Temporada 2024-25</v>
      </c>
    </row>
    <row r="425" customFormat="false" ht="15" hidden="false" customHeight="false" outlineLevel="0" collapsed="false">
      <c r="A425" s="7" t="s">
        <v>49</v>
      </c>
      <c r="B425" s="7" t="n">
        <v>2024</v>
      </c>
      <c r="C425" s="7" t="n">
        <v>48</v>
      </c>
      <c r="D425" s="7" t="n">
        <v>11</v>
      </c>
      <c r="E425" s="20" t="n">
        <v>3826</v>
      </c>
      <c r="F425" s="20" t="n">
        <v>5425</v>
      </c>
      <c r="G425" s="20" t="n">
        <v>18710</v>
      </c>
      <c r="H425" s="20" t="n">
        <v>18479</v>
      </c>
      <c r="I425" s="31" t="n">
        <v>0.949</v>
      </c>
      <c r="J425" s="32" t="b">
        <f aca="false">FALSE()</f>
        <v>0</v>
      </c>
      <c r="K425" s="32" t="b">
        <f aca="false">FALSE()</f>
        <v>0</v>
      </c>
      <c r="L425" s="32" t="b">
        <f aca="false">FALSE()</f>
        <v>0</v>
      </c>
      <c r="M425" s="32" t="b">
        <f aca="false">FALSE()</f>
        <v>0</v>
      </c>
      <c r="N425" s="6" t="str">
        <f aca="false">IF(OR(AND(B425=2024,C425&gt;=43),AND(B425=2025,C425&lt;=13)),"Temporada 2024-25",IF(AND(B425=2025,C425&gt;=36,C425&lt;=42),"Sep-oct 2025","Resto del año"))</f>
        <v>Temporada 2024-25</v>
      </c>
    </row>
    <row r="426" customFormat="false" ht="15" hidden="false" customHeight="false" outlineLevel="0" collapsed="false">
      <c r="A426" s="7" t="s">
        <v>49</v>
      </c>
      <c r="B426" s="7" t="n">
        <v>2024</v>
      </c>
      <c r="C426" s="7" t="n">
        <v>49</v>
      </c>
      <c r="D426" s="7" t="n">
        <v>12</v>
      </c>
      <c r="E426" s="20" t="n">
        <v>3459</v>
      </c>
      <c r="F426" s="20" t="n">
        <v>4721</v>
      </c>
      <c r="G426" s="20" t="n">
        <v>17917</v>
      </c>
      <c r="H426" s="20" t="n">
        <v>17553</v>
      </c>
      <c r="I426" s="31" t="n">
        <v>1.0391</v>
      </c>
      <c r="J426" s="32" t="b">
        <f aca="false">FALSE()</f>
        <v>0</v>
      </c>
      <c r="K426" s="32" t="b">
        <f aca="false">FALSE()</f>
        <v>0</v>
      </c>
      <c r="L426" s="32" t="b">
        <f aca="false">FALSE()</f>
        <v>0</v>
      </c>
      <c r="M426" s="32" t="b">
        <f aca="false">FALSE()</f>
        <v>0</v>
      </c>
      <c r="N426" s="6" t="str">
        <f aca="false">IF(OR(AND(B426=2024,C426&gt;=43),AND(B426=2025,C426&lt;=13)),"Temporada 2024-25",IF(AND(B426=2025,C426&gt;=36,C426&lt;=42),"Sep-oct 2025","Resto del año"))</f>
        <v>Temporada 2024-25</v>
      </c>
    </row>
    <row r="427" customFormat="false" ht="15" hidden="false" customHeight="false" outlineLevel="0" collapsed="false">
      <c r="A427" s="7" t="s">
        <v>49</v>
      </c>
      <c r="B427" s="7" t="n">
        <v>2024</v>
      </c>
      <c r="C427" s="7" t="n">
        <v>50</v>
      </c>
      <c r="D427" s="7" t="n">
        <v>12</v>
      </c>
      <c r="E427" s="20" t="n">
        <v>4096</v>
      </c>
      <c r="F427" s="20" t="n">
        <v>4570</v>
      </c>
      <c r="G427" s="20" t="n">
        <v>19573</v>
      </c>
      <c r="H427" s="20" t="n">
        <v>19610</v>
      </c>
      <c r="I427" s="31" t="n">
        <v>1.0798</v>
      </c>
      <c r="J427" s="32" t="b">
        <f aca="false">FALSE()</f>
        <v>0</v>
      </c>
      <c r="K427" s="32" t="b">
        <f aca="false">FALSE()</f>
        <v>0</v>
      </c>
      <c r="L427" s="32" t="b">
        <f aca="false">FALSE()</f>
        <v>0</v>
      </c>
      <c r="M427" s="32" t="b">
        <f aca="false">FALSE()</f>
        <v>0</v>
      </c>
      <c r="N427" s="6" t="str">
        <f aca="false">IF(OR(AND(B427=2024,C427&gt;=43),AND(B427=2025,C427&lt;=13)),"Temporada 2024-25",IF(AND(B427=2025,C427&gt;=36,C427&lt;=42),"Sep-oct 2025","Resto del año"))</f>
        <v>Temporada 2024-25</v>
      </c>
    </row>
    <row r="428" customFormat="false" ht="15" hidden="false" customHeight="false" outlineLevel="0" collapsed="false">
      <c r="A428" s="7" t="s">
        <v>49</v>
      </c>
      <c r="B428" s="7" t="n">
        <v>2024</v>
      </c>
      <c r="C428" s="7" t="n">
        <v>51</v>
      </c>
      <c r="D428" s="7" t="n">
        <v>12</v>
      </c>
      <c r="E428" s="20" t="n">
        <v>3590</v>
      </c>
      <c r="F428" s="20" t="n">
        <v>3469</v>
      </c>
      <c r="G428" s="20" t="n">
        <v>18331</v>
      </c>
      <c r="H428" s="20" t="n">
        <v>18927</v>
      </c>
      <c r="I428" s="31" t="n">
        <v>1.0785</v>
      </c>
      <c r="J428" s="32" t="b">
        <f aca="false">FALSE()</f>
        <v>0</v>
      </c>
      <c r="K428" s="32" t="b">
        <f aca="false">FALSE()</f>
        <v>0</v>
      </c>
      <c r="L428" s="32" t="b">
        <f aca="false">FALSE()</f>
        <v>0</v>
      </c>
      <c r="M428" s="32" t="b">
        <f aca="false">FALSE()</f>
        <v>0</v>
      </c>
      <c r="N428" s="6" t="str">
        <f aca="false">IF(OR(AND(B428=2024,C428&gt;=43),AND(B428=2025,C428&lt;=13)),"Temporada 2024-25",IF(AND(B428=2025,C428&gt;=36,C428&lt;=42),"Sep-oct 2025","Resto del año"))</f>
        <v>Temporada 2024-25</v>
      </c>
    </row>
    <row r="429" customFormat="false" ht="15" hidden="false" customHeight="false" outlineLevel="0" collapsed="false">
      <c r="A429" s="7" t="s">
        <v>49</v>
      </c>
      <c r="B429" s="7" t="n">
        <v>2024</v>
      </c>
      <c r="C429" s="7" t="n">
        <v>52</v>
      </c>
      <c r="D429" s="7" t="n">
        <v>12</v>
      </c>
      <c r="E429" s="20" t="n">
        <v>2603</v>
      </c>
      <c r="F429" s="20" t="n">
        <v>2675</v>
      </c>
      <c r="G429" s="20" t="n">
        <v>19150</v>
      </c>
      <c r="H429" s="20" t="n">
        <v>19226</v>
      </c>
      <c r="I429" s="31" t="n">
        <v>1.0234</v>
      </c>
      <c r="J429" s="32" t="b">
        <f aca="false">FALSE()</f>
        <v>0</v>
      </c>
      <c r="K429" s="32" t="b">
        <f aca="false">FALSE()</f>
        <v>0</v>
      </c>
      <c r="L429" s="32" t="b">
        <f aca="false">FALSE()</f>
        <v>0</v>
      </c>
      <c r="M429" s="32" t="b">
        <f aca="false">FALSE()</f>
        <v>0</v>
      </c>
      <c r="N429" s="6" t="str">
        <f aca="false">IF(OR(AND(B429=2024,C429&gt;=43),AND(B429=2025,C429&lt;=13)),"Temporada 2024-25",IF(AND(B429=2025,C429&gt;=36,C429&lt;=42),"Sep-oct 2025","Resto del año"))</f>
        <v>Temporada 2024-25</v>
      </c>
    </row>
    <row r="430" customFormat="false" ht="15" hidden="false" customHeight="false" outlineLevel="0" collapsed="false">
      <c r="A430" s="7" t="s">
        <v>49</v>
      </c>
      <c r="B430" s="7" t="n">
        <v>2025</v>
      </c>
      <c r="C430" s="7" t="n">
        <v>1</v>
      </c>
      <c r="D430" s="7" t="n">
        <v>12</v>
      </c>
      <c r="E430" s="20" t="n">
        <v>1841</v>
      </c>
      <c r="F430" s="20" t="n">
        <v>2064</v>
      </c>
      <c r="G430" s="20" t="n">
        <v>19213</v>
      </c>
      <c r="H430" s="20" t="n">
        <v>19542</v>
      </c>
      <c r="I430" s="31" t="n">
        <v>0.9284</v>
      </c>
      <c r="J430" s="32" t="b">
        <f aca="false">FALSE()</f>
        <v>0</v>
      </c>
      <c r="K430" s="32" t="b">
        <f aca="false">FALSE()</f>
        <v>0</v>
      </c>
      <c r="L430" s="32" t="b">
        <f aca="false">FALSE()</f>
        <v>0</v>
      </c>
      <c r="M430" s="32" t="b">
        <f aca="false">FALSE()</f>
        <v>0</v>
      </c>
      <c r="N430" s="6" t="str">
        <f aca="false">IF(OR(AND(B430=2024,C430&gt;=43),AND(B430=2025,C430&lt;=13)),"Temporada 2024-25",IF(AND(B430=2025,C430&gt;=36,C430&lt;=42),"Sep-oct 2025","Resto del año"))</f>
        <v>Temporada 2024-25</v>
      </c>
    </row>
    <row r="431" customFormat="false" ht="15" hidden="false" customHeight="false" outlineLevel="0" collapsed="false">
      <c r="A431" s="7" t="s">
        <v>49</v>
      </c>
      <c r="B431" s="7" t="n">
        <v>2025</v>
      </c>
      <c r="C431" s="7" t="n">
        <v>2</v>
      </c>
      <c r="D431" s="7" t="n">
        <v>1</v>
      </c>
      <c r="E431" s="20" t="n">
        <v>1330</v>
      </c>
      <c r="F431" s="20" t="n">
        <v>1386</v>
      </c>
      <c r="G431" s="20" t="n">
        <v>17345</v>
      </c>
      <c r="H431" s="20" t="n">
        <v>18141</v>
      </c>
      <c r="I431" s="31" t="n">
        <v>0.8292</v>
      </c>
      <c r="J431" s="32" t="b">
        <f aca="false">FALSE()</f>
        <v>0</v>
      </c>
      <c r="K431" s="32" t="b">
        <f aca="false">FALSE()</f>
        <v>0</v>
      </c>
      <c r="L431" s="32" t="b">
        <f aca="false">FALSE()</f>
        <v>0</v>
      </c>
      <c r="M431" s="32" t="b">
        <f aca="false">FALSE()</f>
        <v>0</v>
      </c>
      <c r="N431" s="6" t="str">
        <f aca="false">IF(OR(AND(B431=2024,C431&gt;=43),AND(B431=2025,C431&lt;=13)),"Temporada 2024-25",IF(AND(B431=2025,C431&gt;=36,C431&lt;=42),"Sep-oct 2025","Resto del año"))</f>
        <v>Temporada 2024-25</v>
      </c>
    </row>
    <row r="432" customFormat="false" ht="15" hidden="false" customHeight="false" outlineLevel="0" collapsed="false">
      <c r="A432" s="7" t="s">
        <v>49</v>
      </c>
      <c r="B432" s="7" t="n">
        <v>2025</v>
      </c>
      <c r="C432" s="7" t="n">
        <v>3</v>
      </c>
      <c r="D432" s="7" t="n">
        <v>1</v>
      </c>
      <c r="E432" s="20" t="n">
        <v>1412</v>
      </c>
      <c r="F432" s="20" t="n">
        <v>1308</v>
      </c>
      <c r="G432" s="20" t="n">
        <v>18948</v>
      </c>
      <c r="H432" s="20" t="n">
        <v>17918</v>
      </c>
      <c r="I432" s="31" t="n">
        <v>0.7292</v>
      </c>
      <c r="J432" s="32" t="b">
        <f aca="false">FALSE()</f>
        <v>0</v>
      </c>
      <c r="K432" s="32" t="b">
        <f aca="false">FALSE()</f>
        <v>0</v>
      </c>
      <c r="L432" s="32" t="b">
        <f aca="false">FALSE()</f>
        <v>0</v>
      </c>
      <c r="M432" s="32" t="b">
        <f aca="false">FALSE()</f>
        <v>0</v>
      </c>
      <c r="N432" s="6" t="str">
        <f aca="false">IF(OR(AND(B432=2024,C432&gt;=43),AND(B432=2025,C432&lt;=13)),"Temporada 2024-25",IF(AND(B432=2025,C432&gt;=36,C432&lt;=42),"Sep-oct 2025","Resto del año"))</f>
        <v>Temporada 2024-25</v>
      </c>
    </row>
    <row r="433" customFormat="false" ht="15" hidden="false" customHeight="false" outlineLevel="0" collapsed="false">
      <c r="A433" s="7" t="s">
        <v>49</v>
      </c>
      <c r="B433" s="7" t="n">
        <v>2025</v>
      </c>
      <c r="C433" s="7" t="n">
        <v>4</v>
      </c>
      <c r="D433" s="7" t="n">
        <v>1</v>
      </c>
      <c r="E433" s="20" t="n">
        <v>1305</v>
      </c>
      <c r="F433" s="20" t="n">
        <v>1389</v>
      </c>
      <c r="G433" s="20" t="n">
        <v>18455</v>
      </c>
      <c r="H433" s="20" t="n">
        <v>17967</v>
      </c>
      <c r="I433" s="31" t="n">
        <v>0.6493</v>
      </c>
      <c r="J433" s="32" t="b">
        <f aca="false">FALSE()</f>
        <v>0</v>
      </c>
      <c r="K433" s="32" t="b">
        <f aca="false">FALSE()</f>
        <v>0</v>
      </c>
      <c r="L433" s="32" t="b">
        <f aca="false">FALSE()</f>
        <v>0</v>
      </c>
      <c r="M433" s="32" t="b">
        <f aca="false">FALSE()</f>
        <v>0</v>
      </c>
      <c r="N433" s="6" t="str">
        <f aca="false">IF(OR(AND(B433=2024,C433&gt;=43),AND(B433=2025,C433&lt;=13)),"Temporada 2024-25",IF(AND(B433=2025,C433&gt;=36,C433&lt;=42),"Sep-oct 2025","Resto del año"))</f>
        <v>Temporada 2024-25</v>
      </c>
    </row>
    <row r="434" customFormat="false" ht="15" hidden="false" customHeight="false" outlineLevel="0" collapsed="false">
      <c r="A434" s="7" t="s">
        <v>49</v>
      </c>
      <c r="B434" s="7" t="n">
        <v>2025</v>
      </c>
      <c r="C434" s="7" t="n">
        <v>5</v>
      </c>
      <c r="D434" s="7" t="n">
        <v>1</v>
      </c>
      <c r="E434" s="20" t="n">
        <v>2012</v>
      </c>
      <c r="F434" s="20" t="n">
        <v>1981</v>
      </c>
      <c r="G434" s="20" t="n">
        <v>18763</v>
      </c>
      <c r="H434" s="20" t="n">
        <v>18399</v>
      </c>
      <c r="I434" s="31" t="n">
        <v>0.5847</v>
      </c>
      <c r="J434" s="32" t="b">
        <f aca="false">FALSE()</f>
        <v>0</v>
      </c>
      <c r="K434" s="32" t="b">
        <f aca="false">FALSE()</f>
        <v>0</v>
      </c>
      <c r="L434" s="32" t="b">
        <f aca="false">FALSE()</f>
        <v>0</v>
      </c>
      <c r="M434" s="32" t="b">
        <f aca="false">FALSE()</f>
        <v>0</v>
      </c>
      <c r="N434" s="6" t="str">
        <f aca="false">IF(OR(AND(B434=2024,C434&gt;=43),AND(B434=2025,C434&lt;=13)),"Temporada 2024-25",IF(AND(B434=2025,C434&gt;=36,C434&lt;=42),"Sep-oct 2025","Resto del año"))</f>
        <v>Temporada 2024-25</v>
      </c>
    </row>
    <row r="435" customFormat="false" ht="15" hidden="false" customHeight="false" outlineLevel="0" collapsed="false">
      <c r="A435" s="7" t="s">
        <v>49</v>
      </c>
      <c r="B435" s="7" t="n">
        <v>2025</v>
      </c>
      <c r="C435" s="7" t="n">
        <v>6</v>
      </c>
      <c r="D435" s="7" t="n">
        <v>2</v>
      </c>
      <c r="E435" s="20" t="n">
        <v>2661</v>
      </c>
      <c r="F435" s="20" t="n">
        <v>2584</v>
      </c>
      <c r="G435" s="20" t="n">
        <v>18316</v>
      </c>
      <c r="H435" s="20" t="n">
        <v>18847</v>
      </c>
      <c r="I435" s="31" t="n">
        <v>0.5685</v>
      </c>
      <c r="J435" s="32" t="b">
        <f aca="false">FALSE()</f>
        <v>0</v>
      </c>
      <c r="K435" s="32" t="b">
        <f aca="false">FALSE()</f>
        <v>0</v>
      </c>
      <c r="L435" s="32" t="b">
        <f aca="false">FALSE()</f>
        <v>0</v>
      </c>
      <c r="M435" s="32" t="b">
        <f aca="false">FALSE()</f>
        <v>0</v>
      </c>
      <c r="N435" s="6" t="str">
        <f aca="false">IF(OR(AND(B435=2024,C435&gt;=43),AND(B435=2025,C435&lt;=13)),"Temporada 2024-25",IF(AND(B435=2025,C435&gt;=36,C435&lt;=42),"Sep-oct 2025","Resto del año"))</f>
        <v>Temporada 2024-25</v>
      </c>
    </row>
    <row r="436" customFormat="false" ht="15" hidden="false" customHeight="false" outlineLevel="0" collapsed="false">
      <c r="A436" s="7" t="s">
        <v>49</v>
      </c>
      <c r="B436" s="7" t="n">
        <v>2025</v>
      </c>
      <c r="C436" s="7" t="n">
        <v>7</v>
      </c>
      <c r="D436" s="7" t="n">
        <v>2</v>
      </c>
      <c r="E436" s="20" t="n">
        <v>2429</v>
      </c>
      <c r="F436" s="20" t="n">
        <v>2650</v>
      </c>
      <c r="G436" s="20" t="n">
        <v>18420</v>
      </c>
      <c r="H436" s="20" t="n">
        <v>17420</v>
      </c>
      <c r="I436" s="31" t="n">
        <v>0.5792</v>
      </c>
      <c r="J436" s="32" t="b">
        <f aca="false">FALSE()</f>
        <v>0</v>
      </c>
      <c r="K436" s="32" t="b">
        <f aca="false">FALSE()</f>
        <v>0</v>
      </c>
      <c r="L436" s="32" t="b">
        <f aca="false">FALSE()</f>
        <v>0</v>
      </c>
      <c r="M436" s="32" t="b">
        <f aca="false">FALSE()</f>
        <v>0</v>
      </c>
      <c r="N436" s="6" t="str">
        <f aca="false">IF(OR(AND(B436=2024,C436&gt;=43),AND(B436=2025,C436&lt;=13)),"Temporada 2024-25",IF(AND(B436=2025,C436&gt;=36,C436&lt;=42),"Sep-oct 2025","Resto del año"))</f>
        <v>Temporada 2024-25</v>
      </c>
    </row>
    <row r="437" customFormat="false" ht="15" hidden="false" customHeight="false" outlineLevel="0" collapsed="false">
      <c r="A437" s="7" t="s">
        <v>49</v>
      </c>
      <c r="B437" s="7" t="n">
        <v>2025</v>
      </c>
      <c r="C437" s="7" t="n">
        <v>8</v>
      </c>
      <c r="D437" s="7" t="n">
        <v>2</v>
      </c>
      <c r="E437" s="20" t="n">
        <v>2737</v>
      </c>
      <c r="F437" s="20" t="n">
        <v>3093</v>
      </c>
      <c r="G437" s="20" t="n">
        <v>18446</v>
      </c>
      <c r="H437" s="20" t="n">
        <v>19468</v>
      </c>
      <c r="I437" s="31" t="n">
        <v>0.5881</v>
      </c>
      <c r="J437" s="32" t="b">
        <f aca="false">FALSE()</f>
        <v>0</v>
      </c>
      <c r="K437" s="32" t="b">
        <f aca="false">FALSE()</f>
        <v>0</v>
      </c>
      <c r="L437" s="32" t="b">
        <f aca="false">FALSE()</f>
        <v>0</v>
      </c>
      <c r="M437" s="32" t="b">
        <f aca="false">FALSE()</f>
        <v>0</v>
      </c>
      <c r="N437" s="6" t="str">
        <f aca="false">IF(OR(AND(B437=2024,C437&gt;=43),AND(B437=2025,C437&lt;=13)),"Temporada 2024-25",IF(AND(B437=2025,C437&gt;=36,C437&lt;=42),"Sep-oct 2025","Resto del año"))</f>
        <v>Temporada 2024-25</v>
      </c>
    </row>
    <row r="438" customFormat="false" ht="15" hidden="false" customHeight="false" outlineLevel="0" collapsed="false">
      <c r="A438" s="7" t="s">
        <v>49</v>
      </c>
      <c r="B438" s="7" t="n">
        <v>2025</v>
      </c>
      <c r="C438" s="7" t="n">
        <v>9</v>
      </c>
      <c r="D438" s="7" t="n">
        <v>2</v>
      </c>
      <c r="E438" s="20" t="n">
        <v>3725</v>
      </c>
      <c r="F438" s="20" t="n">
        <v>3262</v>
      </c>
      <c r="G438" s="20" t="n">
        <v>20465</v>
      </c>
      <c r="H438" s="20" t="n">
        <v>19459</v>
      </c>
      <c r="I438" s="31" t="n">
        <v>0.5924</v>
      </c>
      <c r="J438" s="32" t="b">
        <f aca="false">FALSE()</f>
        <v>0</v>
      </c>
      <c r="K438" s="32" t="b">
        <f aca="false">FALSE()</f>
        <v>0</v>
      </c>
      <c r="L438" s="32" t="b">
        <f aca="false">FALSE()</f>
        <v>0</v>
      </c>
      <c r="M438" s="32" t="b">
        <f aca="false">FALSE()</f>
        <v>0</v>
      </c>
      <c r="N438" s="6" t="str">
        <f aca="false">IF(OR(AND(B438=2024,C438&gt;=43),AND(B438=2025,C438&lt;=13)),"Temporada 2024-25",IF(AND(B438=2025,C438&gt;=36,C438&lt;=42),"Sep-oct 2025","Resto del año"))</f>
        <v>Temporada 2024-25</v>
      </c>
    </row>
    <row r="439" customFormat="false" ht="15" hidden="false" customHeight="false" outlineLevel="0" collapsed="false">
      <c r="A439" s="7" t="s">
        <v>49</v>
      </c>
      <c r="B439" s="7" t="n">
        <v>2025</v>
      </c>
      <c r="C439" s="7" t="n">
        <v>10</v>
      </c>
      <c r="D439" s="7" t="n">
        <v>3</v>
      </c>
      <c r="E439" s="20" t="n">
        <v>3260</v>
      </c>
      <c r="F439" s="20" t="n">
        <v>3344</v>
      </c>
      <c r="G439" s="20" t="n">
        <v>19144</v>
      </c>
      <c r="H439" s="20" t="n">
        <v>19683</v>
      </c>
      <c r="I439" s="31" t="n">
        <v>0.612</v>
      </c>
      <c r="J439" s="32" t="b">
        <f aca="false">FALSE()</f>
        <v>0</v>
      </c>
      <c r="K439" s="32" t="b">
        <f aca="false">FALSE()</f>
        <v>0</v>
      </c>
      <c r="L439" s="32" t="b">
        <f aca="false">FALSE()</f>
        <v>0</v>
      </c>
      <c r="M439" s="32" t="b">
        <f aca="false">FALSE()</f>
        <v>0</v>
      </c>
      <c r="N439" s="6" t="str">
        <f aca="false">IF(OR(AND(B439=2024,C439&gt;=43),AND(B439=2025,C439&lt;=13)),"Temporada 2024-25",IF(AND(B439=2025,C439&gt;=36,C439&lt;=42),"Sep-oct 2025","Resto del año"))</f>
        <v>Temporada 2024-25</v>
      </c>
    </row>
    <row r="440" customFormat="false" ht="15" hidden="false" customHeight="false" outlineLevel="0" collapsed="false">
      <c r="A440" s="7" t="s">
        <v>49</v>
      </c>
      <c r="B440" s="7" t="n">
        <v>2025</v>
      </c>
      <c r="C440" s="7" t="n">
        <v>11</v>
      </c>
      <c r="D440" s="7" t="n">
        <v>3</v>
      </c>
      <c r="E440" s="20" t="n">
        <v>2895</v>
      </c>
      <c r="F440" s="20" t="n">
        <v>3226</v>
      </c>
      <c r="G440" s="20" t="n">
        <v>19450</v>
      </c>
      <c r="H440" s="20" t="n">
        <v>19727</v>
      </c>
      <c r="I440" s="31" t="n">
        <v>0.6147</v>
      </c>
      <c r="J440" s="32" t="b">
        <f aca="false">FALSE()</f>
        <v>0</v>
      </c>
      <c r="K440" s="32" t="b">
        <f aca="false">FALSE()</f>
        <v>0</v>
      </c>
      <c r="L440" s="32" t="b">
        <f aca="false">FALSE()</f>
        <v>0</v>
      </c>
      <c r="M440" s="32" t="b">
        <f aca="false">FALSE()</f>
        <v>0</v>
      </c>
      <c r="N440" s="6" t="str">
        <f aca="false">IF(OR(AND(B440=2024,C440&gt;=43),AND(B440=2025,C440&lt;=13)),"Temporada 2024-25",IF(AND(B440=2025,C440&gt;=36,C440&lt;=42),"Sep-oct 2025","Resto del año"))</f>
        <v>Temporada 2024-25</v>
      </c>
    </row>
    <row r="441" customFormat="false" ht="15" hidden="false" customHeight="false" outlineLevel="0" collapsed="false">
      <c r="A441" s="7" t="s">
        <v>49</v>
      </c>
      <c r="B441" s="7" t="n">
        <v>2025</v>
      </c>
      <c r="C441" s="7" t="n">
        <v>12</v>
      </c>
      <c r="D441" s="7" t="n">
        <v>3</v>
      </c>
      <c r="E441" s="20" t="n">
        <v>3046</v>
      </c>
      <c r="F441" s="20" t="n">
        <v>3396</v>
      </c>
      <c r="G441" s="20" t="n">
        <v>20148</v>
      </c>
      <c r="H441" s="20" t="n">
        <v>19523</v>
      </c>
      <c r="I441" s="31" t="n">
        <v>0.6275</v>
      </c>
      <c r="J441" s="32" t="b">
        <f aca="false">FALSE()</f>
        <v>0</v>
      </c>
      <c r="K441" s="32" t="b">
        <f aca="false">FALSE()</f>
        <v>0</v>
      </c>
      <c r="L441" s="32" t="b">
        <f aca="false">FALSE()</f>
        <v>0</v>
      </c>
      <c r="M441" s="32" t="b">
        <f aca="false">FALSE()</f>
        <v>0</v>
      </c>
      <c r="N441" s="6" t="str">
        <f aca="false">IF(OR(AND(B441=2024,C441&gt;=43),AND(B441=2025,C441&lt;=13)),"Temporada 2024-25",IF(AND(B441=2025,C441&gt;=36,C441&lt;=42),"Sep-oct 2025","Resto del año"))</f>
        <v>Temporada 2024-25</v>
      </c>
    </row>
    <row r="442" customFormat="false" ht="15" hidden="false" customHeight="false" outlineLevel="0" collapsed="false">
      <c r="A442" s="7" t="s">
        <v>49</v>
      </c>
      <c r="B442" s="7" t="n">
        <v>2025</v>
      </c>
      <c r="C442" s="7" t="n">
        <v>13</v>
      </c>
      <c r="D442" s="7" t="n">
        <v>3</v>
      </c>
      <c r="E442" s="20" t="n">
        <v>2864</v>
      </c>
      <c r="F442" s="20" t="n">
        <v>3242</v>
      </c>
      <c r="G442" s="20" t="n">
        <v>20198</v>
      </c>
      <c r="H442" s="20" t="n">
        <v>19212</v>
      </c>
      <c r="I442" s="31" t="n">
        <v>0.6407</v>
      </c>
      <c r="J442" s="32" t="b">
        <f aca="false">FALSE()</f>
        <v>0</v>
      </c>
      <c r="K442" s="32" t="b">
        <f aca="false">FALSE()</f>
        <v>0</v>
      </c>
      <c r="L442" s="32" t="b">
        <f aca="false">FALSE()</f>
        <v>0</v>
      </c>
      <c r="M442" s="32" t="b">
        <f aca="false">FALSE()</f>
        <v>0</v>
      </c>
      <c r="N442" s="6" t="str">
        <f aca="false">IF(OR(AND(B442=2024,C442&gt;=43),AND(B442=2025,C442&lt;=13)),"Temporada 2024-25",IF(AND(B442=2025,C442&gt;=36,C442&lt;=42),"Sep-oct 2025","Resto del año"))</f>
        <v>Temporada 2024-25</v>
      </c>
    </row>
    <row r="443" customFormat="false" ht="15" hidden="false" customHeight="false" outlineLevel="0" collapsed="false">
      <c r="A443" s="7" t="s">
        <v>49</v>
      </c>
      <c r="B443" s="7" t="n">
        <v>2025</v>
      </c>
      <c r="C443" s="7" t="n">
        <v>14</v>
      </c>
      <c r="D443" s="7" t="n">
        <v>3</v>
      </c>
      <c r="E443" s="20" t="n">
        <v>2877</v>
      </c>
      <c r="F443" s="20" t="n">
        <v>2961</v>
      </c>
      <c r="G443" s="20" t="n">
        <v>20018</v>
      </c>
      <c r="H443" s="20" t="n">
        <v>19056</v>
      </c>
      <c r="I443" s="31" t="n">
        <v>0.6426</v>
      </c>
      <c r="J443" s="32" t="b">
        <f aca="false">FALSE()</f>
        <v>0</v>
      </c>
      <c r="K443" s="32" t="b">
        <f aca="false">FALSE()</f>
        <v>0</v>
      </c>
      <c r="L443" s="32" t="b">
        <f aca="false">FALSE()</f>
        <v>0</v>
      </c>
      <c r="M443" s="32" t="b">
        <f aca="false">FALSE()</f>
        <v>0</v>
      </c>
      <c r="N443" s="6" t="str">
        <f aca="false">IF(OR(AND(B443=2024,C443&gt;=43),AND(B443=2025,C443&lt;=13)),"Temporada 2024-25",IF(AND(B443=2025,C443&gt;=36,C443&lt;=42),"Sep-oct 2025","Resto del año"))</f>
        <v>Resto del año</v>
      </c>
    </row>
    <row r="444" customFormat="false" ht="15" hidden="false" customHeight="false" outlineLevel="0" collapsed="false">
      <c r="A444" s="7" t="s">
        <v>49</v>
      </c>
      <c r="B444" s="7" t="n">
        <v>2025</v>
      </c>
      <c r="C444" s="7" t="n">
        <v>15</v>
      </c>
      <c r="D444" s="7" t="n">
        <v>4</v>
      </c>
      <c r="E444" s="20" t="n">
        <v>2990</v>
      </c>
      <c r="F444" s="20" t="n">
        <v>3033</v>
      </c>
      <c r="G444" s="20" t="n">
        <v>19171</v>
      </c>
      <c r="H444" s="20" t="n">
        <v>19337</v>
      </c>
      <c r="I444" s="31" t="n">
        <v>0.638</v>
      </c>
      <c r="J444" s="32" t="b">
        <f aca="false">FALSE()</f>
        <v>0</v>
      </c>
      <c r="K444" s="32" t="b">
        <f aca="false">FALSE()</f>
        <v>0</v>
      </c>
      <c r="L444" s="32" t="b">
        <f aca="false">FALSE()</f>
        <v>0</v>
      </c>
      <c r="M444" s="32" t="b">
        <f aca="false">FALSE()</f>
        <v>0</v>
      </c>
      <c r="N444" s="6" t="str">
        <f aca="false">IF(OR(AND(B444=2024,C444&gt;=43),AND(B444=2025,C444&lt;=13)),"Temporada 2024-25",IF(AND(B444=2025,C444&gt;=36,C444&lt;=42),"Sep-oct 2025","Resto del año"))</f>
        <v>Resto del año</v>
      </c>
    </row>
    <row r="445" customFormat="false" ht="15" hidden="false" customHeight="false" outlineLevel="0" collapsed="false">
      <c r="A445" s="7" t="s">
        <v>49</v>
      </c>
      <c r="B445" s="7" t="n">
        <v>2025</v>
      </c>
      <c r="C445" s="7" t="n">
        <v>16</v>
      </c>
      <c r="D445" s="7" t="n">
        <v>4</v>
      </c>
      <c r="E445" s="20" t="n">
        <v>2797</v>
      </c>
      <c r="F445" s="20" t="n">
        <v>2992</v>
      </c>
      <c r="G445" s="20" t="n">
        <v>19587</v>
      </c>
      <c r="H445" s="20" t="n">
        <v>18881</v>
      </c>
      <c r="I445" s="31" t="n">
        <v>0.641</v>
      </c>
      <c r="J445" s="32" t="b">
        <f aca="false">FALSE()</f>
        <v>0</v>
      </c>
      <c r="K445" s="32" t="b">
        <f aca="false">FALSE()</f>
        <v>0</v>
      </c>
      <c r="L445" s="32" t="b">
        <f aca="false">FALSE()</f>
        <v>0</v>
      </c>
      <c r="M445" s="32" t="b">
        <f aca="false">FALSE()</f>
        <v>0</v>
      </c>
      <c r="N445" s="6" t="str">
        <f aca="false">IF(OR(AND(B445=2024,C445&gt;=43),AND(B445=2025,C445&lt;=13)),"Temporada 2024-25",IF(AND(B445=2025,C445&gt;=36,C445&lt;=42),"Sep-oct 2025","Resto del año"))</f>
        <v>Resto del año</v>
      </c>
    </row>
    <row r="446" customFormat="false" ht="15" hidden="false" customHeight="false" outlineLevel="0" collapsed="false">
      <c r="A446" s="7" t="s">
        <v>49</v>
      </c>
      <c r="B446" s="7" t="n">
        <v>2025</v>
      </c>
      <c r="C446" s="7" t="n">
        <v>17</v>
      </c>
      <c r="D446" s="7" t="n">
        <v>4</v>
      </c>
      <c r="E446" s="20" t="n">
        <v>2953</v>
      </c>
      <c r="F446" s="20" t="n">
        <v>3020</v>
      </c>
      <c r="G446" s="20" t="n">
        <v>19136</v>
      </c>
      <c r="H446" s="20" t="n">
        <v>18997</v>
      </c>
      <c r="I446" s="31" t="n">
        <v>0.6351</v>
      </c>
      <c r="J446" s="32" t="b">
        <f aca="false">FALSE()</f>
        <v>0</v>
      </c>
      <c r="K446" s="32" t="b">
        <f aca="false">FALSE()</f>
        <v>0</v>
      </c>
      <c r="L446" s="32" t="b">
        <f aca="false">FALSE()</f>
        <v>0</v>
      </c>
      <c r="M446" s="32" t="b">
        <f aca="false">FALSE()</f>
        <v>0</v>
      </c>
      <c r="N446" s="6" t="str">
        <f aca="false">IF(OR(AND(B446=2024,C446&gt;=43),AND(B446=2025,C446&lt;=13)),"Temporada 2024-25",IF(AND(B446=2025,C446&gt;=36,C446&lt;=42),"Sep-oct 2025","Resto del año"))</f>
        <v>Resto del año</v>
      </c>
    </row>
    <row r="447" customFormat="false" ht="15" hidden="false" customHeight="false" outlineLevel="0" collapsed="false">
      <c r="A447" s="7" t="s">
        <v>49</v>
      </c>
      <c r="B447" s="7" t="n">
        <v>2025</v>
      </c>
      <c r="C447" s="7" t="n">
        <v>18</v>
      </c>
      <c r="D447" s="7" t="n">
        <v>4</v>
      </c>
      <c r="E447" s="20" t="n">
        <v>2900</v>
      </c>
      <c r="F447" s="20" t="n">
        <v>2878</v>
      </c>
      <c r="G447" s="20" t="n">
        <v>22041</v>
      </c>
      <c r="H447" s="20" t="n">
        <v>20207</v>
      </c>
      <c r="I447" s="31" t="n">
        <v>0.6206</v>
      </c>
      <c r="J447" s="32" t="b">
        <f aca="false">FALSE()</f>
        <v>0</v>
      </c>
      <c r="K447" s="32" t="b">
        <f aca="false">FALSE()</f>
        <v>0</v>
      </c>
      <c r="L447" s="32" t="b">
        <f aca="false">FALSE()</f>
        <v>0</v>
      </c>
      <c r="M447" s="32" t="b">
        <f aca="false">FALSE()</f>
        <v>0</v>
      </c>
      <c r="N447" s="6" t="str">
        <f aca="false">IF(OR(AND(B447=2024,C447&gt;=43),AND(B447=2025,C447&lt;=13)),"Temporada 2024-25",IF(AND(B447=2025,C447&gt;=36,C447&lt;=42),"Sep-oct 2025","Resto del año"))</f>
        <v>Resto del año</v>
      </c>
    </row>
    <row r="448" customFormat="false" ht="15" hidden="false" customHeight="false" outlineLevel="0" collapsed="false">
      <c r="A448" s="7" t="s">
        <v>49</v>
      </c>
      <c r="B448" s="7" t="n">
        <v>2025</v>
      </c>
      <c r="C448" s="7" t="n">
        <v>19</v>
      </c>
      <c r="D448" s="7" t="n">
        <v>5</v>
      </c>
      <c r="E448" s="20" t="n">
        <v>3044</v>
      </c>
      <c r="F448" s="20" t="n">
        <v>2929</v>
      </c>
      <c r="G448" s="20" t="n">
        <v>19154</v>
      </c>
      <c r="H448" s="20" t="n">
        <v>19637</v>
      </c>
      <c r="I448" s="31" t="n">
        <v>0.6078</v>
      </c>
      <c r="J448" s="32" t="b">
        <f aca="false">FALSE()</f>
        <v>0</v>
      </c>
      <c r="K448" s="32" t="b">
        <f aca="false">FALSE()</f>
        <v>0</v>
      </c>
      <c r="L448" s="32" t="b">
        <f aca="false">FALSE()</f>
        <v>0</v>
      </c>
      <c r="M448" s="32" t="b">
        <f aca="false">FALSE()</f>
        <v>0</v>
      </c>
      <c r="N448" s="6" t="str">
        <f aca="false">IF(OR(AND(B448=2024,C448&gt;=43),AND(B448=2025,C448&lt;=13)),"Temporada 2024-25",IF(AND(B448=2025,C448&gt;=36,C448&lt;=42),"Sep-oct 2025","Resto del año"))</f>
        <v>Resto del año</v>
      </c>
    </row>
    <row r="449" customFormat="false" ht="15" hidden="false" customHeight="false" outlineLevel="0" collapsed="false">
      <c r="A449" s="7" t="s">
        <v>49</v>
      </c>
      <c r="B449" s="7" t="n">
        <v>2025</v>
      </c>
      <c r="C449" s="7" t="n">
        <v>20</v>
      </c>
      <c r="D449" s="7" t="n">
        <v>5</v>
      </c>
      <c r="E449" s="20" t="n">
        <v>3056</v>
      </c>
      <c r="F449" s="20" t="n">
        <v>3259</v>
      </c>
      <c r="G449" s="20" t="n">
        <v>20776</v>
      </c>
      <c r="H449" s="20" t="n">
        <v>20037</v>
      </c>
      <c r="I449" s="31" t="n">
        <v>0.6109</v>
      </c>
      <c r="J449" s="32" t="b">
        <f aca="false">FALSE()</f>
        <v>0</v>
      </c>
      <c r="K449" s="32" t="b">
        <f aca="false">FALSE()</f>
        <v>0</v>
      </c>
      <c r="L449" s="32" t="b">
        <f aca="false">FALSE()</f>
        <v>0</v>
      </c>
      <c r="M449" s="32" t="b">
        <f aca="false">FALSE()</f>
        <v>0</v>
      </c>
      <c r="N449" s="6" t="str">
        <f aca="false">IF(OR(AND(B449=2024,C449&gt;=43),AND(B449=2025,C449&lt;=13)),"Temporada 2024-25",IF(AND(B449=2025,C449&gt;=36,C449&lt;=42),"Sep-oct 2025","Resto del año"))</f>
        <v>Resto del año</v>
      </c>
    </row>
    <row r="450" customFormat="false" ht="15" hidden="false" customHeight="false" outlineLevel="0" collapsed="false">
      <c r="A450" s="7" t="s">
        <v>49</v>
      </c>
      <c r="B450" s="7" t="n">
        <v>2025</v>
      </c>
      <c r="C450" s="7" t="n">
        <v>21</v>
      </c>
      <c r="D450" s="7" t="n">
        <v>5</v>
      </c>
      <c r="E450" s="20" t="n">
        <v>3128</v>
      </c>
      <c r="F450" s="20" t="n">
        <v>3264</v>
      </c>
      <c r="G450" s="20" t="n">
        <v>20174</v>
      </c>
      <c r="H450" s="20" t="n">
        <v>20341</v>
      </c>
      <c r="I450" s="31" t="n">
        <v>0.6226</v>
      </c>
      <c r="J450" s="32" t="b">
        <f aca="false">FALSE()</f>
        <v>0</v>
      </c>
      <c r="K450" s="32" t="b">
        <f aca="false">FALSE()</f>
        <v>0</v>
      </c>
      <c r="L450" s="32" t="b">
        <f aca="false">FALSE()</f>
        <v>0</v>
      </c>
      <c r="M450" s="32" t="b">
        <f aca="false">FALSE()</f>
        <v>0</v>
      </c>
      <c r="N450" s="6" t="str">
        <f aca="false">IF(OR(AND(B450=2024,C450&gt;=43),AND(B450=2025,C450&lt;=13)),"Temporada 2024-25",IF(AND(B450=2025,C450&gt;=36,C450&lt;=42),"Sep-oct 2025","Resto del año"))</f>
        <v>Resto del año</v>
      </c>
    </row>
    <row r="451" customFormat="false" ht="15" hidden="false" customHeight="false" outlineLevel="0" collapsed="false">
      <c r="A451" s="7" t="s">
        <v>49</v>
      </c>
      <c r="B451" s="7" t="n">
        <v>2025</v>
      </c>
      <c r="C451" s="7" t="n">
        <v>22</v>
      </c>
      <c r="D451" s="7" t="n">
        <v>5</v>
      </c>
      <c r="E451" s="20" t="n">
        <v>2807</v>
      </c>
      <c r="F451" s="20" t="n">
        <v>2973</v>
      </c>
      <c r="G451" s="20" t="n">
        <v>18356</v>
      </c>
      <c r="H451" s="20" t="n">
        <v>18657</v>
      </c>
      <c r="I451" s="31" t="n">
        <v>0.6197</v>
      </c>
      <c r="J451" s="32" t="b">
        <f aca="false">FALSE()</f>
        <v>0</v>
      </c>
      <c r="K451" s="32" t="b">
        <f aca="false">FALSE()</f>
        <v>0</v>
      </c>
      <c r="L451" s="32" t="b">
        <f aca="false">FALSE()</f>
        <v>0</v>
      </c>
      <c r="M451" s="32" t="b">
        <f aca="false">FALSE()</f>
        <v>0</v>
      </c>
      <c r="N451" s="6" t="str">
        <f aca="false">IF(OR(AND(B451=2024,C451&gt;=43),AND(B451=2025,C451&lt;=13)),"Temporada 2024-25",IF(AND(B451=2025,C451&gt;=36,C451&lt;=42),"Sep-oct 2025","Resto del año"))</f>
        <v>Resto del año</v>
      </c>
    </row>
    <row r="452" customFormat="false" ht="15" hidden="false" customHeight="false" outlineLevel="0" collapsed="false">
      <c r="A452" s="7" t="s">
        <v>49</v>
      </c>
      <c r="B452" s="7" t="n">
        <v>2025</v>
      </c>
      <c r="C452" s="7" t="n">
        <v>23</v>
      </c>
      <c r="D452" s="7" t="n">
        <v>6</v>
      </c>
      <c r="E452" s="20" t="n">
        <v>2959</v>
      </c>
      <c r="F452" s="20" t="n">
        <v>3089</v>
      </c>
      <c r="G452" s="20" t="n">
        <v>18170</v>
      </c>
      <c r="H452" s="20" t="n">
        <v>19493</v>
      </c>
      <c r="I452" s="31" t="n">
        <v>0.6244</v>
      </c>
      <c r="J452" s="32" t="b">
        <f aca="false">FALSE()</f>
        <v>0</v>
      </c>
      <c r="K452" s="32" t="b">
        <f aca="false">FALSE()</f>
        <v>0</v>
      </c>
      <c r="L452" s="32" t="b">
        <f aca="false">FALSE()</f>
        <v>0</v>
      </c>
      <c r="M452" s="32" t="b">
        <f aca="false">FALSE()</f>
        <v>0</v>
      </c>
      <c r="N452" s="6" t="str">
        <f aca="false">IF(OR(AND(B452=2024,C452&gt;=43),AND(B452=2025,C452&lt;=13)),"Temporada 2024-25",IF(AND(B452=2025,C452&gt;=36,C452&lt;=42),"Sep-oct 2025","Resto del año"))</f>
        <v>Resto del año</v>
      </c>
    </row>
    <row r="453" customFormat="false" ht="15" hidden="false" customHeight="false" outlineLevel="0" collapsed="false">
      <c r="A453" s="7" t="s">
        <v>49</v>
      </c>
      <c r="B453" s="7" t="n">
        <v>2025</v>
      </c>
      <c r="C453" s="7" t="n">
        <v>24</v>
      </c>
      <c r="D453" s="7" t="n">
        <v>6</v>
      </c>
      <c r="E453" s="20" t="n">
        <v>3101</v>
      </c>
      <c r="F453" s="20" t="n">
        <v>3216</v>
      </c>
      <c r="G453" s="20" t="n">
        <v>19482</v>
      </c>
      <c r="H453" s="20" t="n">
        <v>19189</v>
      </c>
      <c r="I453" s="31" t="n">
        <v>0.6295</v>
      </c>
      <c r="J453" s="32" t="b">
        <f aca="false">FALSE()</f>
        <v>0</v>
      </c>
      <c r="K453" s="32" t="b">
        <f aca="false">FALSE()</f>
        <v>0</v>
      </c>
      <c r="L453" s="32" t="b">
        <f aca="false">FALSE()</f>
        <v>0</v>
      </c>
      <c r="M453" s="32" t="b">
        <f aca="false">FALSE()</f>
        <v>0</v>
      </c>
      <c r="N453" s="6" t="str">
        <f aca="false">IF(OR(AND(B453=2024,C453&gt;=43),AND(B453=2025,C453&lt;=13)),"Temporada 2024-25",IF(AND(B453=2025,C453&gt;=36,C453&lt;=42),"Sep-oct 2025","Resto del año"))</f>
        <v>Resto del año</v>
      </c>
    </row>
    <row r="454" customFormat="false" ht="15" hidden="false" customHeight="false" outlineLevel="0" collapsed="false">
      <c r="A454" s="7" t="s">
        <v>49</v>
      </c>
      <c r="B454" s="7" t="n">
        <v>2025</v>
      </c>
      <c r="C454" s="7" t="n">
        <v>25</v>
      </c>
      <c r="D454" s="7" t="n">
        <v>6</v>
      </c>
      <c r="E454" s="20" t="n">
        <v>3097</v>
      </c>
      <c r="F454" s="20" t="n">
        <v>3027</v>
      </c>
      <c r="G454" s="20" t="n">
        <v>19986</v>
      </c>
      <c r="H454" s="20" t="n">
        <v>18932</v>
      </c>
      <c r="I454" s="31" t="n">
        <v>0.6277</v>
      </c>
      <c r="J454" s="32" t="b">
        <f aca="false">FALSE()</f>
        <v>0</v>
      </c>
      <c r="K454" s="32" t="b">
        <f aca="false">FALSE()</f>
        <v>0</v>
      </c>
      <c r="L454" s="32" t="b">
        <f aca="false">FALSE()</f>
        <v>0</v>
      </c>
      <c r="M454" s="32" t="b">
        <f aca="false">FALSE()</f>
        <v>0</v>
      </c>
      <c r="N454" s="6" t="str">
        <f aca="false">IF(OR(AND(B454=2024,C454&gt;=43),AND(B454=2025,C454&lt;=13)),"Temporada 2024-25",IF(AND(B454=2025,C454&gt;=36,C454&lt;=42),"Sep-oct 2025","Resto del año"))</f>
        <v>Resto del año</v>
      </c>
    </row>
    <row r="455" customFormat="false" ht="15" hidden="false" customHeight="false" outlineLevel="0" collapsed="false">
      <c r="A455" s="7" t="s">
        <v>49</v>
      </c>
      <c r="B455" s="7" t="n">
        <v>2025</v>
      </c>
      <c r="C455" s="7" t="n">
        <v>26</v>
      </c>
      <c r="D455" s="7" t="n">
        <v>6</v>
      </c>
      <c r="E455" s="20" t="n">
        <v>2743</v>
      </c>
      <c r="F455" s="20" t="n">
        <v>2768</v>
      </c>
      <c r="G455" s="20" t="n">
        <v>17887</v>
      </c>
      <c r="H455" s="20" t="n">
        <v>18065</v>
      </c>
      <c r="I455" s="31" t="n">
        <v>0.6283</v>
      </c>
      <c r="J455" s="32" t="b">
        <f aca="false">FALSE()</f>
        <v>0</v>
      </c>
      <c r="K455" s="32" t="b">
        <f aca="false">FALSE()</f>
        <v>0</v>
      </c>
      <c r="L455" s="32" t="b">
        <f aca="false">FALSE()</f>
        <v>0</v>
      </c>
      <c r="M455" s="32" t="b">
        <f aca="false">FALSE()</f>
        <v>0</v>
      </c>
      <c r="N455" s="6" t="str">
        <f aca="false">IF(OR(AND(B455=2024,C455&gt;=43),AND(B455=2025,C455&lt;=13)),"Temporada 2024-25",IF(AND(B455=2025,C455&gt;=36,C455&lt;=42),"Sep-oct 2025","Resto del año"))</f>
        <v>Resto del año</v>
      </c>
    </row>
    <row r="456" customFormat="false" ht="15" hidden="false" customHeight="false" outlineLevel="0" collapsed="false">
      <c r="A456" s="7" t="s">
        <v>49</v>
      </c>
      <c r="B456" s="7" t="n">
        <v>2025</v>
      </c>
      <c r="C456" s="7" t="n">
        <v>27</v>
      </c>
      <c r="D456" s="7" t="n">
        <v>6</v>
      </c>
      <c r="E456" s="20" t="n">
        <v>2719</v>
      </c>
      <c r="F456" s="20" t="n">
        <v>2855</v>
      </c>
      <c r="G456" s="20" t="n">
        <v>18524</v>
      </c>
      <c r="H456" s="20" t="n">
        <v>18247</v>
      </c>
      <c r="I456" s="31" t="n">
        <v>0.6386</v>
      </c>
      <c r="J456" s="32" t="b">
        <f aca="false">FALSE()</f>
        <v>0</v>
      </c>
      <c r="K456" s="32" t="b">
        <f aca="false">FALSE()</f>
        <v>0</v>
      </c>
      <c r="L456" s="32" t="b">
        <f aca="false">FALSE()</f>
        <v>0</v>
      </c>
      <c r="M456" s="32" t="b">
        <f aca="false">FALSE()</f>
        <v>0</v>
      </c>
      <c r="N456" s="6" t="str">
        <f aca="false">IF(OR(AND(B456=2024,C456&gt;=43),AND(B456=2025,C456&lt;=13)),"Temporada 2024-25",IF(AND(B456=2025,C456&gt;=36,C456&lt;=42),"Sep-oct 2025","Resto del año"))</f>
        <v>Resto del año</v>
      </c>
    </row>
    <row r="457" customFormat="false" ht="15" hidden="false" customHeight="false" outlineLevel="0" collapsed="false">
      <c r="A457" s="7" t="s">
        <v>49</v>
      </c>
      <c r="B457" s="7" t="n">
        <v>2025</v>
      </c>
      <c r="C457" s="7" t="n">
        <v>28</v>
      </c>
      <c r="D457" s="7" t="n">
        <v>7</v>
      </c>
      <c r="E457" s="20" t="n">
        <v>2539</v>
      </c>
      <c r="F457" s="20" t="n">
        <v>2794</v>
      </c>
      <c r="G457" s="20" t="n">
        <v>18661</v>
      </c>
      <c r="H457" s="20" t="n">
        <v>18231</v>
      </c>
      <c r="I457" s="31" t="n">
        <v>0.6266</v>
      </c>
      <c r="J457" s="32" t="b">
        <f aca="false">FALSE()</f>
        <v>0</v>
      </c>
      <c r="K457" s="32" t="b">
        <f aca="false">FALSE()</f>
        <v>0</v>
      </c>
      <c r="L457" s="32" t="b">
        <f aca="false">FALSE()</f>
        <v>0</v>
      </c>
      <c r="M457" s="32" t="b">
        <f aca="false">FALSE()</f>
        <v>0</v>
      </c>
      <c r="N457" s="6" t="str">
        <f aca="false">IF(OR(AND(B457=2024,C457&gt;=43),AND(B457=2025,C457&lt;=13)),"Temporada 2024-25",IF(AND(B457=2025,C457&gt;=36,C457&lt;=42),"Sep-oct 2025","Resto del año"))</f>
        <v>Resto del año</v>
      </c>
    </row>
    <row r="458" customFormat="false" ht="15" hidden="false" customHeight="false" outlineLevel="0" collapsed="false">
      <c r="A458" s="7" t="s">
        <v>49</v>
      </c>
      <c r="B458" s="7" t="n">
        <v>2025</v>
      </c>
      <c r="C458" s="7" t="n">
        <v>29</v>
      </c>
      <c r="D458" s="7" t="n">
        <v>7</v>
      </c>
      <c r="E458" s="20" t="n">
        <v>2829</v>
      </c>
      <c r="F458" s="20" t="n">
        <v>2925</v>
      </c>
      <c r="G458" s="20" t="n">
        <v>17416</v>
      </c>
      <c r="H458" s="20" t="n">
        <v>17940</v>
      </c>
      <c r="I458" s="31" t="n">
        <v>0.6272</v>
      </c>
      <c r="J458" s="32" t="b">
        <f aca="false">FALSE()</f>
        <v>0</v>
      </c>
      <c r="K458" s="32" t="b">
        <f aca="false">FALSE()</f>
        <v>0</v>
      </c>
      <c r="L458" s="32" t="b">
        <f aca="false">FALSE()</f>
        <v>0</v>
      </c>
      <c r="M458" s="32" t="b">
        <f aca="false">FALSE()</f>
        <v>0</v>
      </c>
      <c r="N458" s="6" t="str">
        <f aca="false">IF(OR(AND(B458=2024,C458&gt;=43),AND(B458=2025,C458&lt;=13)),"Temporada 2024-25",IF(AND(B458=2025,C458&gt;=36,C458&lt;=42),"Sep-oct 2025","Resto del año"))</f>
        <v>Resto del año</v>
      </c>
    </row>
    <row r="459" customFormat="false" ht="15" hidden="false" customHeight="false" outlineLevel="0" collapsed="false">
      <c r="A459" s="7" t="s">
        <v>49</v>
      </c>
      <c r="B459" s="7" t="n">
        <v>2025</v>
      </c>
      <c r="C459" s="7" t="n">
        <v>30</v>
      </c>
      <c r="D459" s="7" t="n">
        <v>7</v>
      </c>
      <c r="E459" s="20" t="n">
        <v>2809</v>
      </c>
      <c r="F459" s="20" t="n">
        <v>2942</v>
      </c>
      <c r="G459" s="20" t="n">
        <v>18655</v>
      </c>
      <c r="H459" s="20" t="n">
        <v>19256</v>
      </c>
      <c r="I459" s="31" t="n">
        <v>0.6207</v>
      </c>
      <c r="J459" s="32" t="b">
        <f aca="false">FALSE()</f>
        <v>0</v>
      </c>
      <c r="K459" s="32" t="b">
        <f aca="false">FALSE()</f>
        <v>0</v>
      </c>
      <c r="L459" s="32" t="b">
        <f aca="false">FALSE()</f>
        <v>0</v>
      </c>
      <c r="M459" s="32" t="b">
        <f aca="false">FALSE()</f>
        <v>0</v>
      </c>
      <c r="N459" s="6" t="str">
        <f aca="false">IF(OR(AND(B459=2024,C459&gt;=43),AND(B459=2025,C459&lt;=13)),"Temporada 2024-25",IF(AND(B459=2025,C459&gt;=36,C459&lt;=42),"Sep-oct 2025","Resto del año"))</f>
        <v>Resto del año</v>
      </c>
    </row>
    <row r="460" customFormat="false" ht="15" hidden="false" customHeight="false" outlineLevel="0" collapsed="false">
      <c r="A460" s="7" t="s">
        <v>49</v>
      </c>
      <c r="B460" s="7" t="n">
        <v>2025</v>
      </c>
      <c r="C460" s="7" t="n">
        <v>31</v>
      </c>
      <c r="D460" s="7" t="n">
        <v>7</v>
      </c>
      <c r="E460" s="20" t="n">
        <v>3057</v>
      </c>
      <c r="F460" s="20" t="n">
        <v>3093</v>
      </c>
      <c r="G460" s="20" t="n">
        <v>20875</v>
      </c>
      <c r="H460" s="20" t="n">
        <v>19717</v>
      </c>
      <c r="I460" s="31" t="n">
        <v>0.6066</v>
      </c>
      <c r="J460" s="32" t="b">
        <f aca="false">FALSE()</f>
        <v>0</v>
      </c>
      <c r="K460" s="32" t="b">
        <f aca="false">FALSE()</f>
        <v>0</v>
      </c>
      <c r="L460" s="32" t="b">
        <f aca="false">FALSE()</f>
        <v>0</v>
      </c>
      <c r="M460" s="32" t="b">
        <f aca="false">FALSE()</f>
        <v>0</v>
      </c>
      <c r="N460" s="6" t="str">
        <f aca="false">IF(OR(AND(B460=2024,C460&gt;=43),AND(B460=2025,C460&lt;=13)),"Temporada 2024-25",IF(AND(B460=2025,C460&gt;=36,C460&lt;=42),"Sep-oct 2025","Resto del año"))</f>
        <v>Resto del año</v>
      </c>
    </row>
    <row r="461" customFormat="false" ht="15" hidden="false" customHeight="false" outlineLevel="0" collapsed="false">
      <c r="A461" s="7" t="s">
        <v>49</v>
      </c>
      <c r="B461" s="7" t="n">
        <v>2025</v>
      </c>
      <c r="C461" s="7" t="n">
        <v>32</v>
      </c>
      <c r="D461" s="7" t="n">
        <v>8</v>
      </c>
      <c r="E461" s="20" t="n">
        <v>3030</v>
      </c>
      <c r="F461" s="20" t="n">
        <v>3066</v>
      </c>
      <c r="G461" s="20" t="n">
        <v>18749</v>
      </c>
      <c r="H461" s="20" t="n">
        <v>18615</v>
      </c>
      <c r="I461" s="31" t="n">
        <v>0.5993</v>
      </c>
      <c r="J461" s="32" t="b">
        <f aca="false">FALSE()</f>
        <v>0</v>
      </c>
      <c r="K461" s="32" t="b">
        <f aca="false">FALSE()</f>
        <v>0</v>
      </c>
      <c r="L461" s="32" t="b">
        <f aca="false">FALSE()</f>
        <v>0</v>
      </c>
      <c r="M461" s="32" t="b">
        <f aca="false">FALSE()</f>
        <v>0</v>
      </c>
      <c r="N461" s="6" t="str">
        <f aca="false">IF(OR(AND(B461=2024,C461&gt;=43),AND(B461=2025,C461&lt;=13)),"Temporada 2024-25",IF(AND(B461=2025,C461&gt;=36,C461&lt;=42),"Sep-oct 2025","Resto del año"))</f>
        <v>Resto del año</v>
      </c>
    </row>
    <row r="462" customFormat="false" ht="15" hidden="false" customHeight="false" outlineLevel="0" collapsed="false">
      <c r="A462" s="7" t="s">
        <v>49</v>
      </c>
      <c r="B462" s="7" t="n">
        <v>2025</v>
      </c>
      <c r="C462" s="7" t="n">
        <v>33</v>
      </c>
      <c r="D462" s="7" t="n">
        <v>8</v>
      </c>
      <c r="E462" s="20" t="n">
        <v>2878</v>
      </c>
      <c r="F462" s="20" t="n">
        <v>3205</v>
      </c>
      <c r="G462" s="20" t="n">
        <v>19151</v>
      </c>
      <c r="H462" s="20" t="n">
        <v>18783</v>
      </c>
      <c r="I462" s="31" t="n">
        <v>0.6246</v>
      </c>
      <c r="J462" s="32" t="b">
        <f aca="false">FALSE()</f>
        <v>0</v>
      </c>
      <c r="K462" s="32" t="b">
        <f aca="false">FALSE()</f>
        <v>0</v>
      </c>
      <c r="L462" s="32" t="b">
        <f aca="false">FALSE()</f>
        <v>0</v>
      </c>
      <c r="M462" s="32" t="b">
        <f aca="false">FALSE()</f>
        <v>0</v>
      </c>
      <c r="N462" s="6" t="str">
        <f aca="false">IF(OR(AND(B462=2024,C462&gt;=43),AND(B462=2025,C462&lt;=13)),"Temporada 2024-25",IF(AND(B462=2025,C462&gt;=36,C462&lt;=42),"Sep-oct 2025","Resto del año"))</f>
        <v>Resto del año</v>
      </c>
    </row>
    <row r="463" customFormat="false" ht="15" hidden="false" customHeight="false" outlineLevel="0" collapsed="false">
      <c r="A463" s="7" t="s">
        <v>49</v>
      </c>
      <c r="B463" s="7" t="n">
        <v>2025</v>
      </c>
      <c r="C463" s="7" t="n">
        <v>34</v>
      </c>
      <c r="D463" s="7" t="n">
        <v>8</v>
      </c>
      <c r="E463" s="20" t="n">
        <v>2780</v>
      </c>
      <c r="F463" s="20" t="n">
        <v>3094</v>
      </c>
      <c r="G463" s="20" t="n">
        <v>18664</v>
      </c>
      <c r="H463" s="20" t="n">
        <v>18443</v>
      </c>
      <c r="I463" s="31" t="n">
        <v>0.6383</v>
      </c>
      <c r="J463" s="32" t="b">
        <f aca="false">FALSE()</f>
        <v>0</v>
      </c>
      <c r="K463" s="32" t="b">
        <f aca="false">FALSE()</f>
        <v>0</v>
      </c>
      <c r="L463" s="32" t="b">
        <f aca="false">FALSE()</f>
        <v>0</v>
      </c>
      <c r="M463" s="32" t="b">
        <f aca="false">FALSE()</f>
        <v>0</v>
      </c>
      <c r="N463" s="6" t="str">
        <f aca="false">IF(OR(AND(B463=2024,C463&gt;=43),AND(B463=2025,C463&lt;=13)),"Temporada 2024-25",IF(AND(B463=2025,C463&gt;=36,C463&lt;=42),"Sep-oct 2025","Resto del año"))</f>
        <v>Resto del año</v>
      </c>
    </row>
    <row r="464" customFormat="false" ht="15" hidden="false" customHeight="false" outlineLevel="0" collapsed="false">
      <c r="A464" s="7" t="s">
        <v>49</v>
      </c>
      <c r="B464" s="7" t="n">
        <v>2025</v>
      </c>
      <c r="C464" s="7" t="n">
        <v>35</v>
      </c>
      <c r="D464" s="7" t="n">
        <v>8</v>
      </c>
      <c r="E464" s="20" t="n">
        <v>3018</v>
      </c>
      <c r="F464" s="20" t="n">
        <v>3050</v>
      </c>
      <c r="G464" s="20" t="n">
        <v>18037</v>
      </c>
      <c r="H464" s="20" t="n">
        <v>18204</v>
      </c>
      <c r="I464" s="31" t="n">
        <v>0.6485</v>
      </c>
      <c r="J464" s="32" t="b">
        <f aca="false">FALSE()</f>
        <v>0</v>
      </c>
      <c r="K464" s="32" t="b">
        <f aca="false">FALSE()</f>
        <v>0</v>
      </c>
      <c r="L464" s="32" t="b">
        <f aca="false">FALSE()</f>
        <v>0</v>
      </c>
      <c r="M464" s="32" t="b">
        <f aca="false">FALSE()</f>
        <v>0</v>
      </c>
      <c r="N464" s="6" t="str">
        <f aca="false">IF(OR(AND(B464=2024,C464&gt;=43),AND(B464=2025,C464&lt;=13)),"Temporada 2024-25",IF(AND(B464=2025,C464&gt;=36,C464&lt;=42),"Sep-oct 2025","Resto del año"))</f>
        <v>Resto del año</v>
      </c>
    </row>
    <row r="465" customFormat="false" ht="15" hidden="false" customHeight="false" outlineLevel="0" collapsed="false">
      <c r="A465" s="7" t="s">
        <v>49</v>
      </c>
      <c r="B465" s="7" t="n">
        <v>2025</v>
      </c>
      <c r="C465" s="7" t="n">
        <v>36</v>
      </c>
      <c r="D465" s="7" t="n">
        <v>9</v>
      </c>
      <c r="E465" s="20" t="n">
        <v>2909</v>
      </c>
      <c r="F465" s="20" t="n">
        <v>2731</v>
      </c>
      <c r="G465" s="20" t="n">
        <v>18058</v>
      </c>
      <c r="H465" s="20" t="n">
        <v>17912</v>
      </c>
      <c r="I465" s="31" t="n">
        <v>0.6371</v>
      </c>
      <c r="J465" s="32" t="b">
        <f aca="false">FALSE()</f>
        <v>0</v>
      </c>
      <c r="K465" s="32" t="b">
        <f aca="false">FALSE()</f>
        <v>0</v>
      </c>
      <c r="L465" s="32" t="b">
        <f aca="false">FALSE()</f>
        <v>0</v>
      </c>
      <c r="M465" s="32" t="b">
        <f aca="false">FALSE()</f>
        <v>0</v>
      </c>
      <c r="N465" s="6" t="str">
        <f aca="false">IF(OR(AND(B465=2024,C465&gt;=43),AND(B465=2025,C465&lt;=13)),"Temporada 2024-25",IF(AND(B465=2025,C465&gt;=36,C465&lt;=42),"Sep-oct 2025","Resto del año"))</f>
        <v>Sep-oct 2025</v>
      </c>
    </row>
    <row r="466" customFormat="false" ht="15" hidden="false" customHeight="false" outlineLevel="0" collapsed="false">
      <c r="A466" s="7" t="s">
        <v>49</v>
      </c>
      <c r="B466" s="7" t="n">
        <v>2025</v>
      </c>
      <c r="C466" s="7" t="n">
        <v>37</v>
      </c>
      <c r="D466" s="7" t="n">
        <v>9</v>
      </c>
      <c r="E466" s="20" t="n">
        <v>2963</v>
      </c>
      <c r="F466" s="20" t="n">
        <v>2737</v>
      </c>
      <c r="G466" s="20" t="n">
        <v>16587</v>
      </c>
      <c r="H466" s="20" t="n">
        <v>17435</v>
      </c>
      <c r="I466" s="31" t="n">
        <v>0.6344</v>
      </c>
      <c r="J466" s="32" t="b">
        <f aca="false">FALSE()</f>
        <v>0</v>
      </c>
      <c r="K466" s="32" t="b">
        <f aca="false">FALSE()</f>
        <v>0</v>
      </c>
      <c r="L466" s="32" t="b">
        <f aca="false">FALSE()</f>
        <v>0</v>
      </c>
      <c r="M466" s="32" t="b">
        <f aca="false">FALSE()</f>
        <v>0</v>
      </c>
      <c r="N466" s="6" t="str">
        <f aca="false">IF(OR(AND(B466=2024,C466&gt;=43),AND(B466=2025,C466&lt;=13)),"Temporada 2024-25",IF(AND(B466=2025,C466&gt;=36,C466&lt;=42),"Sep-oct 2025","Resto del año"))</f>
        <v>Sep-oct 2025</v>
      </c>
    </row>
    <row r="467" customFormat="false" ht="15" hidden="false" customHeight="false" outlineLevel="0" collapsed="false">
      <c r="A467" s="7" t="s">
        <v>49</v>
      </c>
      <c r="B467" s="7" t="n">
        <v>2025</v>
      </c>
      <c r="C467" s="7" t="n">
        <v>38</v>
      </c>
      <c r="D467" s="7" t="n">
        <v>9</v>
      </c>
      <c r="E467" s="20" t="n">
        <v>3221</v>
      </c>
      <c r="F467" s="20" t="n">
        <v>3256</v>
      </c>
      <c r="G467" s="20" t="n">
        <v>19226</v>
      </c>
      <c r="H467" s="20" t="n">
        <v>19391</v>
      </c>
      <c r="I467" s="31" t="n">
        <v>0.6526</v>
      </c>
      <c r="J467" s="32" t="b">
        <f aca="false">FALSE()</f>
        <v>0</v>
      </c>
      <c r="K467" s="32" t="b">
        <f aca="false">FALSE()</f>
        <v>0</v>
      </c>
      <c r="L467" s="32" t="b">
        <f aca="false">FALSE()</f>
        <v>0</v>
      </c>
      <c r="M467" s="32" t="b">
        <f aca="false">FALSE()</f>
        <v>0</v>
      </c>
      <c r="N467" s="6" t="str">
        <f aca="false">IF(OR(AND(B467=2024,C467&gt;=43),AND(B467=2025,C467&lt;=13)),"Temporada 2024-25",IF(AND(B467=2025,C467&gt;=36,C467&lt;=42),"Sep-oct 2025","Resto del año"))</f>
        <v>Sep-oct 2025</v>
      </c>
    </row>
    <row r="468" customFormat="false" ht="15" hidden="false" customHeight="false" outlineLevel="0" collapsed="false">
      <c r="A468" s="7" t="s">
        <v>49</v>
      </c>
      <c r="B468" s="7" t="n">
        <v>2025</v>
      </c>
      <c r="C468" s="7" t="n">
        <v>39</v>
      </c>
      <c r="D468" s="7" t="n">
        <v>9</v>
      </c>
      <c r="E468" s="20" t="n">
        <v>2807</v>
      </c>
      <c r="F468" s="20" t="n">
        <v>2848</v>
      </c>
      <c r="G468" s="20" t="n">
        <v>20204</v>
      </c>
      <c r="H468" s="20" t="n">
        <v>18821</v>
      </c>
      <c r="I468" s="31" t="n">
        <v>0.6394</v>
      </c>
      <c r="J468" s="32" t="b">
        <f aca="false">FALSE()</f>
        <v>0</v>
      </c>
      <c r="K468" s="32" t="b">
        <f aca="false">FALSE()</f>
        <v>0</v>
      </c>
      <c r="L468" s="32" t="b">
        <f aca="false">FALSE()</f>
        <v>0</v>
      </c>
      <c r="M468" s="32" t="b">
        <f aca="false">FALSE()</f>
        <v>0</v>
      </c>
      <c r="N468" s="6" t="str">
        <f aca="false">IF(OR(AND(B468=2024,C468&gt;=43),AND(B468=2025,C468&lt;=13)),"Temporada 2024-25",IF(AND(B468=2025,C468&gt;=36,C468&lt;=42),"Sep-oct 2025","Resto del año"))</f>
        <v>Sep-oct 2025</v>
      </c>
    </row>
    <row r="469" customFormat="false" ht="15" hidden="false" customHeight="false" outlineLevel="0" collapsed="false">
      <c r="A469" s="7" t="s">
        <v>49</v>
      </c>
      <c r="B469" s="7" t="n">
        <v>2025</v>
      </c>
      <c r="C469" s="7" t="n">
        <v>40</v>
      </c>
      <c r="D469" s="7" t="n">
        <v>9</v>
      </c>
      <c r="E469" s="20" t="n">
        <v>1637</v>
      </c>
      <c r="F469" s="20" t="n">
        <v>2603</v>
      </c>
      <c r="G469" s="20" t="n">
        <v>18228</v>
      </c>
      <c r="H469" s="20" t="n">
        <v>17898</v>
      </c>
      <c r="I469" s="31" t="n">
        <v>0.6293</v>
      </c>
      <c r="J469" s="32" t="b">
        <f aca="false">FALSE()</f>
        <v>0</v>
      </c>
      <c r="K469" s="32" t="b">
        <f aca="false">FALSE()</f>
        <v>0</v>
      </c>
      <c r="L469" s="32" t="b">
        <f aca="false">FALSE()</f>
        <v>0</v>
      </c>
      <c r="M469" s="32" t="b">
        <f aca="false">FALSE()</f>
        <v>0</v>
      </c>
      <c r="N469" s="6" t="str">
        <f aca="false">IF(OR(AND(B469=2024,C469&gt;=43),AND(B469=2025,C469&lt;=13)),"Temporada 2024-25",IF(AND(B469=2025,C469&gt;=36,C469&lt;=42),"Sep-oct 2025","Resto del año"))</f>
        <v>Sep-oct 2025</v>
      </c>
    </row>
    <row r="470" customFormat="false" ht="15" hidden="false" customHeight="false" outlineLevel="0" collapsed="false">
      <c r="A470" s="7" t="s">
        <v>49</v>
      </c>
      <c r="B470" s="7" t="n">
        <v>2025</v>
      </c>
      <c r="C470" s="7" t="n">
        <v>41</v>
      </c>
      <c r="D470" s="7" t="n">
        <v>10</v>
      </c>
      <c r="E470" s="20" t="n">
        <v>2095</v>
      </c>
      <c r="F470" s="20" t="n">
        <v>2933</v>
      </c>
      <c r="G470" s="20" t="n">
        <v>17585</v>
      </c>
      <c r="H470" s="20" t="n">
        <v>17923</v>
      </c>
      <c r="I470" s="31" t="n">
        <v>0.6323</v>
      </c>
      <c r="J470" s="32" t="b">
        <f aca="false">FALSE()</f>
        <v>0</v>
      </c>
      <c r="K470" s="32" t="b">
        <f aca="false">FALSE()</f>
        <v>0</v>
      </c>
      <c r="L470" s="32" t="b">
        <f aca="false">FALSE()</f>
        <v>0</v>
      </c>
      <c r="M470" s="32" t="b">
        <f aca="false">FALSE()</f>
        <v>0</v>
      </c>
      <c r="N470" s="6" t="str">
        <f aca="false">IF(OR(AND(B470=2024,C470&gt;=43),AND(B470=2025,C470&lt;=13)),"Temporada 2024-25",IF(AND(B470=2025,C470&gt;=36,C470&lt;=42),"Sep-oct 2025","Resto del año"))</f>
        <v>Sep-oct 2025</v>
      </c>
    </row>
    <row r="471" customFormat="false" ht="15" hidden="false" customHeight="false" outlineLevel="0" collapsed="false">
      <c r="A471" s="7" t="s">
        <v>49</v>
      </c>
      <c r="B471" s="7" t="n">
        <v>2025</v>
      </c>
      <c r="C471" s="7" t="n">
        <v>42</v>
      </c>
      <c r="D471" s="7" t="n">
        <v>10</v>
      </c>
      <c r="E471" s="20" t="n">
        <v>2556</v>
      </c>
      <c r="F471" s="20" t="n">
        <v>3056</v>
      </c>
      <c r="G471" s="20" t="n">
        <v>19161</v>
      </c>
      <c r="H471" s="20" t="n">
        <v>18874</v>
      </c>
      <c r="I471" s="31" t="n">
        <v>0.6306</v>
      </c>
      <c r="J471" s="32" t="b">
        <f aca="false">FALSE()</f>
        <v>0</v>
      </c>
      <c r="K471" s="32" t="b">
        <f aca="false">FALSE()</f>
        <v>0</v>
      </c>
      <c r="L471" s="32" t="b">
        <f aca="false">FALSE()</f>
        <v>0</v>
      </c>
      <c r="M471" s="32" t="b">
        <f aca="false">FALSE()</f>
        <v>0</v>
      </c>
      <c r="N471" s="6" t="str">
        <f aca="false">IF(OR(AND(B471=2024,C471&gt;=43),AND(B471=2025,C471&lt;=13)),"Temporada 2024-25",IF(AND(B471=2025,C471&gt;=36,C471&lt;=42),"Sep-oct 2025","Resto del año"))</f>
        <v>Sep-oct 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20"/>
  </cols>
  <sheetData>
    <row r="1" customFormat="false" ht="17.35" hidden="false" customHeight="false" outlineLevel="0" collapsed="false">
      <c r="A1" s="1" t="s">
        <v>113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39.55" hidden="false" customHeight="false" outlineLevel="0" collapsed="false">
      <c r="A3" s="12" t="s">
        <v>34</v>
      </c>
      <c r="B3" s="12" t="s">
        <v>114</v>
      </c>
      <c r="C3" s="12" t="s">
        <v>115</v>
      </c>
      <c r="D3" s="12" t="s">
        <v>116</v>
      </c>
      <c r="E3" s="12" t="s">
        <v>117</v>
      </c>
      <c r="F3" s="12" t="s">
        <v>118</v>
      </c>
      <c r="G3" s="12" t="s">
        <v>119</v>
      </c>
    </row>
    <row r="4" customFormat="false" ht="15" hidden="false" customHeight="false" outlineLevel="0" collapsed="false">
      <c r="A4" s="4" t="s">
        <v>44</v>
      </c>
      <c r="B4" s="33" t="n">
        <f aca="false">SUMIFS(Historico!$F$2:$F$471,Historico!$A$2:$A$471,$A4,Historico!$N$2:$N$471,"Resto del año")/SUMIFS(Historico!$E$2:$E$471,Historico!$A$2:$A$471,$A4,Historico!$N$2:$N$471,"Resto del año")</f>
        <v>1.0407116515989</v>
      </c>
      <c r="C4" s="33" t="n">
        <f aca="false">SUMIFS(Historico!$F$2:$F$471,Historico!$A$2:$A$471,$A4,Historico!$N$2:$N$471,"Temporada 2024-25")/SUMIFS(Historico!$E$2:$E$471,Historico!$A$2:$A$471,$A4,Historico!$N$2:$N$471,"Temporada 2024-25")</f>
        <v>1.11607536388884</v>
      </c>
      <c r="D4" s="33" t="n">
        <f aca="false">SUMIFS(Historico!$F$2:$F$471,Historico!$A$2:$A$471,$A4,Historico!$N$2:$N$471,"Sep-oct 2025")/SUMIFS(Historico!$E$2:$E$471,Historico!$A$2:$A$471,$A4,Historico!$N$2:$N$471,"Sep-oct 2025")</f>
        <v>1.12714785952351</v>
      </c>
      <c r="E4" s="33" t="n">
        <f aca="false">SUMIFS(Historico!$H$2:$H$471,Historico!$A$2:$A$471,$A4,Historico!$N$2:$N$471,"Resto del año")/SUMIFS(Historico!$G$2:$G$471,Historico!$A$2:$A$471,$A4,Historico!$N$2:$N$471,"Resto del año")</f>
        <v>0.990832889345163</v>
      </c>
      <c r="F4" s="33" t="n">
        <f aca="false">SUMIFS(Historico!$H$2:$H$471,Historico!$A$2:$A$471,$A4,Historico!$N$2:$N$471,"Temporada 2024-25")/SUMIFS(Historico!$G$2:$G$471,Historico!$A$2:$A$471,$A4,Historico!$N$2:$N$471,"Temporada 2024-25")</f>
        <v>0.985963196263235</v>
      </c>
      <c r="G4" s="33" t="n">
        <f aca="false">SUMIFS(Historico!$H$2:$H$471,Historico!$A$2:$A$471,$A4,Historico!$N$2:$N$471,"Sep-oct 2025")/SUMIFS(Historico!$G$2:$G$471,Historico!$A$2:$A$471,$A4,Historico!$N$2:$N$471,"Sep-oct 2025")</f>
        <v>0.974287667879315</v>
      </c>
    </row>
    <row r="5" customFormat="false" ht="15" hidden="false" customHeight="false" outlineLevel="0" collapsed="false">
      <c r="A5" s="4" t="s">
        <v>46</v>
      </c>
      <c r="B5" s="33" t="n">
        <f aca="false">SUMIFS(Historico!$F$2:$F$471,Historico!$A$2:$A$471,$A5,Historico!$N$2:$N$471,"Resto del año")/SUMIFS(Historico!$E$2:$E$471,Historico!$A$2:$A$471,$A5,Historico!$N$2:$N$471,"Resto del año")</f>
        <v>1.03826091068136</v>
      </c>
      <c r="C5" s="33" t="n">
        <f aca="false">SUMIFS(Historico!$F$2:$F$471,Historico!$A$2:$A$471,$A5,Historico!$N$2:$N$471,"Temporada 2024-25")/SUMIFS(Historico!$E$2:$E$471,Historico!$A$2:$A$471,$A5,Historico!$N$2:$N$471,"Temporada 2024-25")</f>
        <v>1.14293668080761</v>
      </c>
      <c r="D5" s="33" t="n">
        <f aca="false">SUMIFS(Historico!$F$2:$F$471,Historico!$A$2:$A$471,$A5,Historico!$N$2:$N$471,"Sep-oct 2025")/SUMIFS(Historico!$E$2:$E$471,Historico!$A$2:$A$471,$A5,Historico!$N$2:$N$471,"Sep-oct 2025")</f>
        <v>1.05815223885693</v>
      </c>
      <c r="E5" s="33" t="n">
        <f aca="false">SUMIFS(Historico!$H$2:$H$471,Historico!$A$2:$A$471,$A5,Historico!$N$2:$N$471,"Resto del año")/SUMIFS(Historico!$G$2:$G$471,Historico!$A$2:$A$471,$A5,Historico!$N$2:$N$471,"Resto del año")</f>
        <v>0.981663887674029</v>
      </c>
      <c r="F5" s="33" t="n">
        <f aca="false">SUMIFS(Historico!$H$2:$H$471,Historico!$A$2:$A$471,$A5,Historico!$N$2:$N$471,"Temporada 2024-25")/SUMIFS(Historico!$G$2:$G$471,Historico!$A$2:$A$471,$A5,Historico!$N$2:$N$471,"Temporada 2024-25")</f>
        <v>0.996834916135586</v>
      </c>
      <c r="G5" s="33" t="n">
        <f aca="false">SUMIFS(Historico!$H$2:$H$471,Historico!$A$2:$A$471,$A5,Historico!$N$2:$N$471,"Sep-oct 2025")/SUMIFS(Historico!$G$2:$G$471,Historico!$A$2:$A$471,$A5,Historico!$N$2:$N$471,"Sep-oct 2025")</f>
        <v>0.979011275657747</v>
      </c>
    </row>
    <row r="6" customFormat="false" ht="15" hidden="false" customHeight="false" outlineLevel="0" collapsed="false">
      <c r="A6" s="4" t="s">
        <v>47</v>
      </c>
      <c r="B6" s="33" t="n">
        <f aca="false">SUMIFS(Historico!$F$2:$F$471,Historico!$A$2:$A$471,$A6,Historico!$N$2:$N$471,"Resto del año")/SUMIFS(Historico!$E$2:$E$471,Historico!$A$2:$A$471,$A6,Historico!$N$2:$N$471,"Resto del año")</f>
        <v>1.0343577355204</v>
      </c>
      <c r="C6" s="33" t="n">
        <f aca="false">SUMIFS(Historico!$F$2:$F$471,Historico!$A$2:$A$471,$A6,Historico!$N$2:$N$471,"Temporada 2024-25")/SUMIFS(Historico!$E$2:$E$471,Historico!$A$2:$A$471,$A6,Historico!$N$2:$N$471,"Temporada 2024-25")</f>
        <v>1.09923584173778</v>
      </c>
      <c r="D6" s="33" t="n">
        <f aca="false">SUMIFS(Historico!$F$2:$F$471,Historico!$A$2:$A$471,$A6,Historico!$N$2:$N$471,"Sep-oct 2025")/SUMIFS(Historico!$E$2:$E$471,Historico!$A$2:$A$471,$A6,Historico!$N$2:$N$471,"Sep-oct 2025")</f>
        <v>1.0785277901952</v>
      </c>
      <c r="E6" s="33" t="n">
        <f aca="false">SUMIFS(Historico!$H$2:$H$471,Historico!$A$2:$A$471,$A6,Historico!$N$2:$N$471,"Resto del año")/SUMIFS(Historico!$G$2:$G$471,Historico!$A$2:$A$471,$A6,Historico!$N$2:$N$471,"Resto del año")</f>
        <v>0.999071831779043</v>
      </c>
      <c r="F6" s="33" t="n">
        <f aca="false">SUMIFS(Historico!$H$2:$H$471,Historico!$A$2:$A$471,$A6,Historico!$N$2:$N$471,"Temporada 2024-25")/SUMIFS(Historico!$G$2:$G$471,Historico!$A$2:$A$471,$A6,Historico!$N$2:$N$471,"Temporada 2024-25")</f>
        <v>0.994711878151396</v>
      </c>
      <c r="G6" s="33" t="n">
        <f aca="false">SUMIFS(Historico!$H$2:$H$471,Historico!$A$2:$A$471,$A6,Historico!$N$2:$N$471,"Sep-oct 2025")/SUMIFS(Historico!$G$2:$G$471,Historico!$A$2:$A$471,$A6,Historico!$N$2:$N$471,"Sep-oct 2025")</f>
        <v>1.00805194631813</v>
      </c>
    </row>
    <row r="7" customFormat="false" ht="15" hidden="false" customHeight="false" outlineLevel="0" collapsed="false">
      <c r="A7" s="4" t="s">
        <v>48</v>
      </c>
      <c r="B7" s="33" t="n">
        <f aca="false">SUMIFS(Historico!$F$2:$F$471,Historico!$A$2:$A$471,$A7,Historico!$N$2:$N$471,"Resto del año")/SUMIFS(Historico!$E$2:$E$471,Historico!$A$2:$A$471,$A7,Historico!$N$2:$N$471,"Resto del año")</f>
        <v>1.03126614161214</v>
      </c>
      <c r="C7" s="33" t="n">
        <f aca="false">SUMIFS(Historico!$F$2:$F$471,Historico!$A$2:$A$471,$A7,Historico!$N$2:$N$471,"Temporada 2024-25")/SUMIFS(Historico!$E$2:$E$471,Historico!$A$2:$A$471,$A7,Historico!$N$2:$N$471,"Temporada 2024-25")</f>
        <v>1.0982397843041</v>
      </c>
      <c r="D7" s="33" t="n">
        <f aca="false">SUMIFS(Historico!$F$2:$F$471,Historico!$A$2:$A$471,$A7,Historico!$N$2:$N$471,"Sep-oct 2025")/SUMIFS(Historico!$E$2:$E$471,Historico!$A$2:$A$471,$A7,Historico!$N$2:$N$471,"Sep-oct 2025")</f>
        <v>1.12631873774624</v>
      </c>
      <c r="E7" s="33" t="n">
        <f aca="false">SUMIFS(Historico!$H$2:$H$471,Historico!$A$2:$A$471,$A7,Historico!$N$2:$N$471,"Resto del año")/SUMIFS(Historico!$G$2:$G$471,Historico!$A$2:$A$471,$A7,Historico!$N$2:$N$471,"Resto del año")</f>
        <v>0.981770305853757</v>
      </c>
      <c r="F7" s="33" t="n">
        <f aca="false">SUMIFS(Historico!$H$2:$H$471,Historico!$A$2:$A$471,$A7,Historico!$N$2:$N$471,"Temporada 2024-25")/SUMIFS(Historico!$G$2:$G$471,Historico!$A$2:$A$471,$A7,Historico!$N$2:$N$471,"Temporada 2024-25")</f>
        <v>0.99971953590573</v>
      </c>
      <c r="G7" s="33" t="n">
        <f aca="false">SUMIFS(Historico!$H$2:$H$471,Historico!$A$2:$A$471,$A7,Historico!$N$2:$N$471,"Sep-oct 2025")/SUMIFS(Historico!$G$2:$G$471,Historico!$A$2:$A$471,$A7,Historico!$N$2:$N$471,"Sep-oct 2025")</f>
        <v>0.984537272097854</v>
      </c>
    </row>
    <row r="8" customFormat="false" ht="15" hidden="false" customHeight="false" outlineLevel="0" collapsed="false">
      <c r="A8" s="4" t="s">
        <v>49</v>
      </c>
      <c r="B8" s="33" t="n">
        <f aca="false">SUMIFS(Historico!$F$2:$F$471,Historico!$A$2:$A$471,$A8,Historico!$N$2:$N$471,"Resto del año")/SUMIFS(Historico!$E$2:$E$471,Historico!$A$2:$A$471,$A8,Historico!$N$2:$N$471,"Resto del año")</f>
        <v>1.05003233107016</v>
      </c>
      <c r="C8" s="33" t="n">
        <f aca="false">SUMIFS(Historico!$F$2:$F$471,Historico!$A$2:$A$471,$A8,Historico!$N$2:$N$471,"Temporada 2024-25")/SUMIFS(Historico!$E$2:$E$471,Historico!$A$2:$A$471,$A8,Historico!$N$2:$N$471,"Temporada 2024-25")</f>
        <v>1.13980932913879</v>
      </c>
      <c r="D8" s="33" t="n">
        <f aca="false">SUMIFS(Historico!$F$2:$F$471,Historico!$A$2:$A$471,$A8,Historico!$N$2:$N$471,"Sep-oct 2025")/SUMIFS(Historico!$E$2:$E$471,Historico!$A$2:$A$471,$A8,Historico!$N$2:$N$471,"Sep-oct 2025")</f>
        <v>1.10864306135914</v>
      </c>
      <c r="E8" s="33" t="n">
        <f aca="false">SUMIFS(Historico!$H$2:$H$471,Historico!$A$2:$A$471,$A8,Historico!$N$2:$N$471,"Resto del año")/SUMIFS(Historico!$G$2:$G$471,Historico!$A$2:$A$471,$A8,Historico!$N$2:$N$471,"Resto del año")</f>
        <v>0.985939386030731</v>
      </c>
      <c r="F8" s="33" t="n">
        <f aca="false">SUMIFS(Historico!$H$2:$H$471,Historico!$A$2:$A$471,$A8,Historico!$N$2:$N$471,"Temporada 2024-25")/SUMIFS(Historico!$G$2:$G$471,Historico!$A$2:$A$471,$A8,Historico!$N$2:$N$471,"Temporada 2024-25")</f>
        <v>0.988406979925526</v>
      </c>
      <c r="G8" s="33" t="n">
        <f aca="false">SUMIFS(Historico!$H$2:$H$471,Historico!$A$2:$A$471,$A8,Historico!$N$2:$N$471,"Sep-oct 2025")/SUMIFS(Historico!$G$2:$G$471,Historico!$A$2:$A$471,$A8,Historico!$N$2:$N$471,"Sep-oct 2025")</f>
        <v>0.993839549318476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3" t="s">
        <v>120</v>
      </c>
      <c r="B10" s="2"/>
      <c r="C10" s="2"/>
      <c r="D10" s="2"/>
      <c r="E10" s="2"/>
      <c r="F10" s="2"/>
      <c r="G10" s="2"/>
    </row>
  </sheetData>
  <conditionalFormatting sqref="B4:G8">
    <cfRule type="cellIs" priority="2" operator="greaterThan" aboveAverage="0" equalAverage="0" bottom="0" percent="0" rank="0" text="" dxfId="0">
      <formula>1.05</formula>
    </cfRule>
    <cfRule type="cellIs" priority="3" operator="lessThan" aboveAverage="0" equalAverage="0" bottom="0" percent="0" rank="0" text="" dxfId="3">
      <formula>0.95</formula>
    </cfRule>
    <cfRule type="cellIs" priority="4" operator="between" aboveAverage="0" equalAverage="0" bottom="0" percent="0" rank="0" text="" dxfId="2">
      <formula>0.95</formula>
      <formula>1.05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121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26.85" hidden="false" customHeight="false" outlineLevel="0" collapsed="false">
      <c r="A3" s="12" t="s">
        <v>34</v>
      </c>
      <c r="B3" s="12" t="s">
        <v>122</v>
      </c>
      <c r="C3" s="12" t="s">
        <v>123</v>
      </c>
      <c r="D3" s="12" t="s">
        <v>124</v>
      </c>
      <c r="E3" s="12" t="s">
        <v>125</v>
      </c>
      <c r="F3" s="12" t="s">
        <v>126</v>
      </c>
      <c r="G3" s="12" t="s">
        <v>127</v>
      </c>
    </row>
    <row r="4" customFormat="false" ht="15" hidden="false" customHeight="false" outlineLevel="0" collapsed="false">
      <c r="A4" s="4" t="s">
        <v>44</v>
      </c>
      <c r="B4" s="34" t="n">
        <v>31</v>
      </c>
      <c r="C4" s="35" t="n">
        <v>2.46</v>
      </c>
      <c r="D4" s="35" t="n">
        <v>0.35</v>
      </c>
      <c r="E4" s="35" t="n">
        <v>5.8</v>
      </c>
      <c r="F4" s="35" t="n">
        <v>43.66</v>
      </c>
      <c r="G4" s="36" t="n">
        <f aca="false">1-C4/E4</f>
        <v>0.575862068965517</v>
      </c>
    </row>
    <row r="5" customFormat="false" ht="15" hidden="false" customHeight="false" outlineLevel="0" collapsed="false">
      <c r="A5" s="4" t="s">
        <v>46</v>
      </c>
      <c r="B5" s="34" t="n">
        <v>31</v>
      </c>
      <c r="C5" s="35" t="n">
        <v>2.64</v>
      </c>
      <c r="D5" s="35" t="n">
        <v>-2.19</v>
      </c>
      <c r="E5" s="35" t="n">
        <v>5.1</v>
      </c>
      <c r="F5" s="35" t="n">
        <v>21.89</v>
      </c>
      <c r="G5" s="36" t="n">
        <f aca="false">1-C5/E5</f>
        <v>0.482352941176471</v>
      </c>
    </row>
    <row r="6" customFormat="false" ht="15" hidden="false" customHeight="false" outlineLevel="0" collapsed="false">
      <c r="A6" s="4" t="s">
        <v>47</v>
      </c>
      <c r="B6" s="34" t="n">
        <v>31</v>
      </c>
      <c r="C6" s="35" t="n">
        <v>3.11</v>
      </c>
      <c r="D6" s="35" t="n">
        <v>2.59</v>
      </c>
      <c r="E6" s="35" t="n">
        <v>4.04</v>
      </c>
      <c r="F6" s="35" t="n">
        <v>55.32</v>
      </c>
      <c r="G6" s="36" t="n">
        <f aca="false">1-C6/E6</f>
        <v>0.23019801980198</v>
      </c>
    </row>
    <row r="7" customFormat="false" ht="15" hidden="false" customHeight="false" outlineLevel="0" collapsed="false">
      <c r="A7" s="4" t="s">
        <v>48</v>
      </c>
      <c r="B7" s="34" t="n">
        <v>31</v>
      </c>
      <c r="C7" s="35" t="n">
        <v>2.41</v>
      </c>
      <c r="D7" s="35" t="n">
        <v>-0.61</v>
      </c>
      <c r="E7" s="35" t="n">
        <v>2.58</v>
      </c>
      <c r="F7" s="35" t="n">
        <v>23.87</v>
      </c>
      <c r="G7" s="36" t="n">
        <f aca="false">1-C7/E7</f>
        <v>0.0658914728682171</v>
      </c>
    </row>
    <row r="8" customFormat="false" ht="15" hidden="false" customHeight="false" outlineLevel="0" collapsed="false">
      <c r="A8" s="4" t="s">
        <v>49</v>
      </c>
      <c r="B8" s="34" t="n">
        <v>31</v>
      </c>
      <c r="C8" s="35" t="n">
        <v>1.48</v>
      </c>
      <c r="D8" s="35" t="n">
        <v>1.02</v>
      </c>
      <c r="E8" s="35" t="n">
        <v>3.29</v>
      </c>
      <c r="F8" s="35" t="n">
        <v>27.63</v>
      </c>
      <c r="G8" s="36" t="n">
        <f aca="false">1-C8/E8</f>
        <v>0.550151975683891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3" t="s">
        <v>128</v>
      </c>
      <c r="B10" s="2"/>
      <c r="C10" s="2"/>
      <c r="D10" s="2"/>
      <c r="E10" s="2"/>
      <c r="F10" s="2"/>
      <c r="G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2026-10-24T17:15:13Z</dcterms:created>
  <dc:creator>openpyxl</dc:creator>
  <dc:description/>
  <dc:language>en-US</dc:language>
  <cp:lastModifiedBy/>
  <dcterms:modified xsi:type="dcterms:W3CDTF">2026-10-24T17:15:13Z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